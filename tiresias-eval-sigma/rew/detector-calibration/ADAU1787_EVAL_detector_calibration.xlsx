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0b744bc20f9449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rotocol" sheetId="1" r:id="R3e03223c6ebc4e60"/>
    <x:sheet xmlns:r="http://schemas.openxmlformats.org/officeDocument/2006/relationships" name="Measurements" sheetId="2" r:id="R59fb30f1f406473b"/>
    <x:sheet xmlns:r="http://schemas.openxmlformats.org/officeDocument/2006/relationships" name="Analysis" sheetId="3" r:id="R6a81d45e5c1d44ca"/>
    <x:sheet xmlns:r="http://schemas.openxmlformats.org/officeDocument/2006/relationships" name="Coverage" sheetId="4" r:id="Rf362374644124545"/>
    <x:sheet xmlns:r="http://schemas.openxmlformats.org/officeDocument/2006/relationships" name="Model" sheetId="5" r:id="R49f3d441553a45b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0.00"/>
    <x:numFmt numFmtId="201" formatCode="0"/>
    <x:numFmt numFmtId="202" formatCode="0.000000"/>
    <x:numFmt numFmtId="203" formatCode="0.000"/>
  </x:numFmts>
  <x:fonts count="4">
    <x:font>
      <x:sz val="11"/>
      <x:name val="Carlito"/>
    </x:font>
    <x:font>
      <x:b/>
      <x:sz val="16"/>
      <x:color rgb="FFFFFFFF"/>
      <x:name val="Carlito"/>
    </x:font>
    <x:font>
      <x:b/>
      <x:sz val="11"/>
      <x:name val="Carlito"/>
    </x:font>
    <x:font>
      <x:b/>
      <x:sz val="11"/>
      <x:color rgb="FFFFFFFF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FFF2CC"/>
      </x:patternFill>
    </x:fill>
    <x:fill>
      <x:patternFill patternType="solid">
        <x:fgColor rgb="FFE2F0D9"/>
      </x:patternFill>
    </x:fill>
  </x:fills>
  <x:borders count="10">
    <x:border/>
    <x:border>
      <x:left style="thin">
        <x:color rgb="FFAAB7C4"/>
      </x:left>
      <x:top style="thin">
        <x:color rgb="FFAAB7C4"/>
      </x:top>
    </x:border>
    <x:border>
      <x:right style="thin">
        <x:color rgb="FFAAB7C4"/>
      </x:right>
      <x:top style="thin">
        <x:color rgb="FFAAB7C4"/>
      </x:top>
    </x:border>
    <x:border>
      <x:left style="thin">
        <x:color rgb="FFAAB7C4"/>
      </x:left>
    </x:border>
    <x:border>
      <x:right style="thin">
        <x:color rgb="FFAAB7C4"/>
      </x:right>
    </x:border>
    <x:border>
      <x:left style="thin">
        <x:color rgb="FFAAB7C4"/>
      </x:left>
      <x:bottom style="thin">
        <x:color rgb="FFAAB7C4"/>
      </x:bottom>
    </x:border>
    <x:border>
      <x:right style="thin">
        <x:color rgb="FFAAB7C4"/>
      </x:right>
      <x:bottom style="thin">
        <x:color rgb="FFAAB7C4"/>
      </x:bottom>
    </x:border>
    <x:border>
      <x:left style="thin">
        <x:color rgb="FF9EADBC"/>
      </x:left>
      <x:top style="thin">
        <x:color rgb="FF9EADBC"/>
      </x:top>
      <x:bottom style="thin">
        <x:color rgb="FF9EADBC"/>
      </x:bottom>
    </x:border>
    <x:border>
      <x:right style="thin">
        <x:color rgb="FF9EADBC"/>
      </x:right>
      <x:top style="thin">
        <x:color rgb="FF9EADBC"/>
      </x:top>
      <x:bottom style="thin">
        <x:color rgb="FF9EADBC"/>
      </x:bottom>
    </x:border>
    <x:border>
      <x:top style="thin">
        <x:color rgb="FF9EADBC"/>
      </x:top>
      <x:bottom style="thin">
        <x:color rgb="FF9EADBC"/>
      </x:bottom>
    </x:border>
  </x:borders>
  <x:cellStyleXfs count="1">
    <x:xf numFmtId="0" fontId="0" fillId="0" borderId="0"/>
  </x:cellStyleXfs>
  <x:cellXfs count="33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wrapText="1"/>
    </x:xf>
    <x:xf numFmtId="0" fontId="2" fillId="3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wrapText="1"/>
    </x:xf>
    <x:xf numFmtId="0" fontId="2" fillId="3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7" xfId="0" applyNumberFormat="1" applyFont="1" applyFill="1" applyBorder="1"/>
    <x:xf numFmtId="0" fontId="3" fillId="4" borderId="8" xfId="0" applyNumberFormat="1" applyFont="1" applyFill="1" applyBorder="1"/>
    <x:xf numFmtId="0" fontId="3" fillId="4" borderId="7" xfId="0" applyNumberFormat="1" applyFont="1" applyFill="1" applyBorder="1" applyAlignment="1">
      <x:alignment wrapText="1"/>
    </x:xf>
    <x:xf numFmtId="0" fontId="3" fillId="4" borderId="8" xfId="0" applyNumberFormat="1" applyFont="1" applyFill="1" applyBorder="1" applyAlignment="1">
      <x:alignment wrapText="1"/>
    </x:xf>
    <x:xf numFmtId="0" fontId="3" fillId="4" borderId="7" xfId="0" applyNumberFormat="1" applyFont="1" applyFill="1" applyBorder="1" applyAlignment="1">
      <x:alignment vertical="center" wrapText="1"/>
    </x:xf>
    <x:xf numFmtId="0" fontId="3" fillId="4" borderId="8" xfId="0" applyNumberFormat="1" applyFont="1" applyFill="1" applyBorder="1" applyAlignment="1">
      <x:alignment vertical="center" wrapText="1"/>
    </x:xf>
    <x:xf numFmtId="0" fontId="3" fillId="4" borderId="9" xfId="0" applyNumberFormat="1" applyFont="1" applyFill="1" applyBorder="1"/>
    <x:xf numFmtId="0" fontId="3" fillId="4" borderId="9" xfId="0" applyNumberFormat="1" applyFont="1" applyFill="1" applyBorder="1" applyAlignment="1">
      <x:alignment wrapText="1"/>
    </x:xf>
    <x:xf numFmtId="0" fontId="3" fillId="4" borderId="9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/>
    <x:xf numFmtId="200" fontId="0" fillId="5" borderId="0" xfId="0" applyNumberFormat="1" applyFont="1" applyFill="1" applyBorder="1"/>
    <x:xf numFmtId="201" fontId="0" fillId="0" borderId="0" xfId="0" applyNumberFormat="1" applyFont="1" applyFill="1" applyBorder="1"/>
    <x:xf numFmtId="200" fontId="0" fillId="0" borderId="0" xfId="0" applyNumberFormat="1" applyFont="1" applyFill="1" applyBorder="1"/>
    <x:xf numFmtId="202" fontId="0" fillId="0" borderId="0" xfId="0" applyNumberFormat="1" applyFont="1" applyFill="1" applyBorder="1"/>
    <x:xf numFmtId="0" fontId="0" fillId="6" borderId="0" xfId="0" applyNumberFormat="1" applyFont="1" applyFill="1" applyBorder="1"/>
    <x:xf numFmtId="203" fontId="0" fillId="6" borderId="0" xfId="0" applyNumberFormat="1" applyFont="1" applyFill="1" applyBorder="1"/>
    <x:xf numFmtId="203" fontId="0" fillId="0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177bb383a5b456b" /><Relationship Type="http://schemas.openxmlformats.org/officeDocument/2006/relationships/theme" Target="/xl/theme/theme1.xml" Id="Rccf8d74f6d5d4382" /><Relationship Type="http://schemas.openxmlformats.org/officeDocument/2006/relationships/sharedStrings" Target="/xl/sharedStrings.xml" Id="Rced2d8d651d04005" /><Relationship Type="http://schemas.openxmlformats.org/officeDocument/2006/relationships/worksheet" Target="/xl/worksheets/sheet1.xml" Id="R3e03223c6ebc4e60" /><Relationship Type="http://schemas.openxmlformats.org/officeDocument/2006/relationships/worksheet" Target="/xl/worksheets/sheet2.xml" Id="R59fb30f1f406473b" /><Relationship Type="http://schemas.openxmlformats.org/officeDocument/2006/relationships/worksheet" Target="/xl/worksheets/sheet3.xml" Id="R6a81d45e5c1d44ca" /><Relationship Type="http://schemas.openxmlformats.org/officeDocument/2006/relationships/worksheet" Target="/xl/worksheets/sheet4.xml" Id="Rf362374644124545" /><Relationship Type="http://schemas.openxmlformats.org/officeDocument/2006/relationships/worksheet" Target="/xl/worksheets/sheet5.xml" Id="R49f3d441553a45bf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96" hidden="0" customWidth="1"/>
  </x:cols>
  <x:sheetData>
    <x:row r="1" ht="28" customHeight="1">
      <x:c r="A1" s="3" t="str">
        <x:v>ADAU1787 EVAL — calibração comum dos detectores B1–B8</x:v>
      </x:c>
      <x:c r="B1" s="3"/>
      <x:c r="C1" s="3"/>
      <x:c r="D1" s="3"/>
      <x:c r="E1" s="3"/>
      <x:c r="F1" s="3"/>
      <x:c r="G1" s="3"/>
      <x:c r="H1" s="3"/>
    </x:row>
    <x:row r="2" ht="28" customHeight="1">
      <x:c r="A2" s="3"/>
      <x:c r="B2" s="3"/>
      <x:c r="C2" s="3"/>
      <x:c r="D2" s="3"/>
      <x:c r="E2" s="3"/>
      <x:c r="F2" s="3"/>
      <x:c r="G2" s="3"/>
      <x:c r="H2" s="3"/>
    </x:row>
    <x:row r="4">
      <x:c r="A4" s="8" t="str">
        <x:v>Objetivo</x:v>
      </x:c>
      <x:c r="B4" s="9" t="str">
        <x:v>Identificar uma vez os detectores RMS de B1–B8 e reutilizar a calibração para N1–N10.</x:v>
      </x:c>
    </x:row>
    <x:row r="5">
      <x:c r="A5" s="10" t="str">
        <x:v>Estado inicial</x:v>
      </x:c>
      <x:c r="B5" s="11" t="str">
        <x:v>Execute Link Compile Download. Todas as LUTs B1–B8 e os três biases devem estar em unity.</x:v>
      </x:c>
    </x:row>
    <x:row r="6">
      <x:c r="A6" s="10" t="str">
        <x:v>Frequência</x:v>
      </x:c>
      <x:c r="B6" s="11" t="str">
        <x:v>Use a frequência indicada para cada banda e anote somente essa componente espectral no REW.</x:v>
      </x:c>
    </x:row>
    <x:row r="7">
      <x:c r="A7" s="10" t="str">
        <x:v>Níveis</x:v>
      </x:c>
      <x:c r="B7" s="11" t="str">
        <x:v>Use somente −59,85; −39,85; −19,85 e −9,85 dBV, equivalentes a 45, 65, 85 e 95 dB SPL.</x:v>
      </x:c>
    </x:row>
    <x:row r="8">
      <x:c r="A8" s="10" t="str">
        <x:v>Unity</x:v>
      </x:c>
      <x:c r="B8" s="11" t="str">
        <x:v>Meça os quatro níveis antes de carregar a LUT de identificação da banda.</x:v>
      </x:c>
    </x:row>
    <x:row r="9">
      <x:c r="A9" s="10" t="str">
        <x:v>Identificação</x:v>
      </x:c>
      <x:c r="B9" s="11" t="str">
        <x:v>Carregue B&lt;n&gt;_detector_identification.sss uma vez e repita os quatro níveis.</x:v>
      </x:c>
    </x:row>
    <x:row r="10">
      <x:c r="A10" s="10" t="str">
        <x:v>Estabilização</x:v>
      </x:c>
      <x:c r="B10" s="11" t="str">
        <x:v>Aguarde pelo menos 2 s após mudar frequência ou nível antes de registrar a componente espectral.</x:v>
      </x:c>
    </x:row>
    <x:row r="11">
      <x:c r="A11" s="10" t="str">
        <x:v>Restauração</x:v>
      </x:c>
      <x:c r="B11" s="11" t="str">
        <x:v>Use detector_identification_restore_all_unity.sss ou Link Compile Download entre bandas.</x:v>
      </x:c>
    </x:row>
    <x:row r="12">
      <x:c r="A12" s="10" t="str">
        <x:v>Registro</x:v>
      </x:c>
      <x:c r="B12" s="11" t="str">
        <x:v>Preencha somente as células amarelas da aba Measurements; as demais abas são calculadas.</x:v>
      </x:c>
    </x:row>
    <x:row r="13">
      <x:c r="A13" s="12" t="str">
        <x:v>Importante</x:v>
      </x:c>
      <x:c r="B13" s="13" t="str">
        <x:v>Não use sweep. Esta campanha pertence ao EVAL e será feita apenas uma vez, não uma vez por prescrição.</x:v>
      </x:c>
    </x:row>
    <x:row r="15">
      <x:c r="A15" s="20" t="str">
        <x:v>Script/arquivo</x:v>
      </x:c>
      <x:c r="B15" s="21" t="str">
        <x:v>Caminho relativo a tiresias-eval-sigma</x:v>
      </x:c>
    </x:row>
    <x:row r="16">
      <x:c r="A16" s="7" t="str">
        <x:v>Banda atual</x:v>
      </x:c>
      <x:c r="B16" s="7" t="str">
        <x:v>scripts/generated/detector-identification/B&lt;n&gt;_detector_identification.sss</x:v>
      </x:c>
    </x:row>
    <x:row r="17">
      <x:c r="A17" s="7" t="str">
        <x:v>Exemplo B1</x:v>
      </x:c>
      <x:c r="B17" s="7" t="str">
        <x:v>scripts/generated/detector-identification/B1_detector_identification.sss</x:v>
      </x:c>
    </x:row>
    <x:row r="18">
      <x:c r="A18" s="7" t="str">
        <x:v>Restaurar unity</x:v>
      </x:c>
      <x:c r="B18" s="7" t="str">
        <x:v>scripts/generated/detector-identification/detector_identification_restore_all_unity.sss</x:v>
      </x:c>
    </x:row>
    <x:row r="19">
      <x:c r="A19" s="7" t="str">
        <x:v>Resultado comum</x:v>
      </x:c>
      <x:c r="B19" s="7" t="str">
        <x:v>config/detector_calibration_eval.json</x:v>
      </x:c>
    </x:row>
  </x:sheetData>
  <x:mergeCells>
    <x:mergeCell ref="A1:H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9" hidden="0" customWidth="1"/>
    <x:col min="3" max="3" width="16" hidden="0" customWidth="1"/>
    <x:col min="4" max="4" width="24" hidden="0" customWidth="1"/>
    <x:col min="5" max="5" width="20" hidden="0" customWidth="1"/>
    <x:col min="6" max="6" width="22" hidden="0" customWidth="1"/>
    <x:col min="7" max="7" width="30" hidden="0" customWidth="1"/>
    <x:col min="8" max="8" width="42" hidden="0" customWidth="1"/>
  </x:cols>
  <x:sheetData>
    <x:row r="1">
      <x:c r="A1" s="3" t="str">
        <x:v>Calibração comum B1–B8 — preencher somente F, G e H</x:v>
      </x:c>
      <x:c r="B1" s="3"/>
      <x:c r="C1" s="3"/>
      <x:c r="D1" s="3"/>
      <x:c r="E1" s="3"/>
      <x:c r="F1" s="3"/>
      <x:c r="G1" s="3"/>
      <x:c r="H1" s="3"/>
    </x:row>
    <x:row r="2">
      <x:c r="A2" s="3"/>
      <x:c r="B2" s="3"/>
      <x:c r="C2" s="3"/>
      <x:c r="D2" s="3"/>
      <x:c r="E2" s="3"/>
      <x:c r="F2" s="3"/>
      <x:c r="G2" s="3"/>
      <x:c r="H2" s="3"/>
    </x:row>
    <x:row r="4">
      <x:c r="A4" s="20" t="str">
        <x:v>test_id</x:v>
      </x:c>
      <x:c r="B4" s="24" t="str">
        <x:v>band</x:v>
      </x:c>
      <x:c r="C4" s="24" t="str">
        <x:v>frequency_hz</x:v>
      </x:c>
      <x:c r="D4" s="24" t="str">
        <x:v>equivalent_level_db_spl</x:v>
      </x:c>
      <x:c r="E4" s="24" t="str">
        <x:v>rew_dac_output_dbv</x:v>
      </x:c>
      <x:c r="F4" s="24" t="str">
        <x:v>unity_component_dbv</x:v>
      </x:c>
      <x:c r="G4" s="24" t="str">
        <x:v>identification_component_dbv</x:v>
      </x:c>
      <x:c r="H4" s="21" t="str">
        <x:v>notes</x:v>
      </x:c>
    </x:row>
    <x:row r="5">
      <x:c r="A5" t="str">
        <x:v>B1_45</x:v>
      </x:c>
      <x:c r="B5" s="27" t="n">
        <x:v>1</x:v>
      </x:c>
      <x:c r="C5" s="27" t="n">
        <x:v>177</x:v>
      </x:c>
      <x:c r="D5" s="28" t="n">
        <x:v>45</x:v>
      </x:c>
      <x:c r="E5" s="28" t="n">
        <x:v>-59.85</x:v>
      </x:c>
      <x:c r="F5" s="26"/>
      <x:c r="G5" s="26"/>
      <x:c r="H5" s="25" t="str"/>
    </x:row>
    <x:row r="6">
      <x:c r="A6" t="str">
        <x:v>B1_65</x:v>
      </x:c>
      <x:c r="B6" s="27" t="n">
        <x:v>1</x:v>
      </x:c>
      <x:c r="C6" s="27" t="n">
        <x:v>177</x:v>
      </x:c>
      <x:c r="D6" s="28" t="n">
        <x:v>65</x:v>
      </x:c>
      <x:c r="E6" s="28" t="n">
        <x:v>-39.85</x:v>
      </x:c>
      <x:c r="F6" s="26"/>
      <x:c r="G6" s="26"/>
      <x:c r="H6" s="25" t="str"/>
    </x:row>
    <x:row r="7">
      <x:c r="A7" t="str">
        <x:v>B1_85</x:v>
      </x:c>
      <x:c r="B7" s="27" t="n">
        <x:v>1</x:v>
      </x:c>
      <x:c r="C7" s="27" t="n">
        <x:v>177</x:v>
      </x:c>
      <x:c r="D7" s="28" t="n">
        <x:v>85</x:v>
      </x:c>
      <x:c r="E7" s="28" t="n">
        <x:v>-19.85</x:v>
      </x:c>
      <x:c r="F7" s="26"/>
      <x:c r="G7" s="26"/>
      <x:c r="H7" s="25" t="str"/>
    </x:row>
    <x:row r="8">
      <x:c r="A8" t="str">
        <x:v>B1_95</x:v>
      </x:c>
      <x:c r="B8" s="27" t="n">
        <x:v>1</x:v>
      </x:c>
      <x:c r="C8" s="27" t="n">
        <x:v>177</x:v>
      </x:c>
      <x:c r="D8" s="28" t="n">
        <x:v>95</x:v>
      </x:c>
      <x:c r="E8" s="28" t="n">
        <x:v>-9.85</x:v>
      </x:c>
      <x:c r="F8" s="26"/>
      <x:c r="G8" s="26"/>
      <x:c r="H8" s="25" t="str"/>
    </x:row>
    <x:row r="9">
      <x:c r="A9" t="str">
        <x:v>B2_45</x:v>
      </x:c>
      <x:c r="B9" s="27" t="n">
        <x:v>2</x:v>
      </x:c>
      <x:c r="C9" s="27" t="n">
        <x:v>297</x:v>
      </x:c>
      <x:c r="D9" s="28" t="n">
        <x:v>45</x:v>
      </x:c>
      <x:c r="E9" s="28" t="n">
        <x:v>-59.85</x:v>
      </x:c>
      <x:c r="F9" s="26"/>
      <x:c r="G9" s="26"/>
      <x:c r="H9" s="25" t="str"/>
    </x:row>
    <x:row r="10">
      <x:c r="A10" t="str">
        <x:v>B2_65</x:v>
      </x:c>
      <x:c r="B10" s="27" t="n">
        <x:v>2</x:v>
      </x:c>
      <x:c r="C10" s="27" t="n">
        <x:v>297</x:v>
      </x:c>
      <x:c r="D10" s="28" t="n">
        <x:v>65</x:v>
      </x:c>
      <x:c r="E10" s="28" t="n">
        <x:v>-39.85</x:v>
      </x:c>
      <x:c r="F10" s="26"/>
      <x:c r="G10" s="26"/>
      <x:c r="H10" s="25" t="str"/>
    </x:row>
    <x:row r="11">
      <x:c r="A11" t="str">
        <x:v>B2_85</x:v>
      </x:c>
      <x:c r="B11" s="27" t="n">
        <x:v>2</x:v>
      </x:c>
      <x:c r="C11" s="27" t="n">
        <x:v>297</x:v>
      </x:c>
      <x:c r="D11" s="28" t="n">
        <x:v>85</x:v>
      </x:c>
      <x:c r="E11" s="28" t="n">
        <x:v>-19.85</x:v>
      </x:c>
      <x:c r="F11" s="26"/>
      <x:c r="G11" s="26"/>
      <x:c r="H11" s="25" t="str"/>
    </x:row>
    <x:row r="12">
      <x:c r="A12" t="str">
        <x:v>B2_95</x:v>
      </x:c>
      <x:c r="B12" s="27" t="n">
        <x:v>2</x:v>
      </x:c>
      <x:c r="C12" s="27" t="n">
        <x:v>297</x:v>
      </x:c>
      <x:c r="D12" s="28" t="n">
        <x:v>95</x:v>
      </x:c>
      <x:c r="E12" s="28" t="n">
        <x:v>-9.85</x:v>
      </x:c>
      <x:c r="F12" s="26"/>
      <x:c r="G12" s="26"/>
      <x:c r="H12" s="25" t="str"/>
    </x:row>
    <x:row r="13">
      <x:c r="A13" t="str">
        <x:v>B3_45</x:v>
      </x:c>
      <x:c r="B13" s="27" t="n">
        <x:v>3</x:v>
      </x:c>
      <x:c r="C13" s="27" t="n">
        <x:v>500</x:v>
      </x:c>
      <x:c r="D13" s="28" t="n">
        <x:v>45</x:v>
      </x:c>
      <x:c r="E13" s="28" t="n">
        <x:v>-59.85</x:v>
      </x:c>
      <x:c r="F13" s="26"/>
      <x:c r="G13" s="26"/>
      <x:c r="H13" s="25" t="str"/>
    </x:row>
    <x:row r="14">
      <x:c r="A14" t="str">
        <x:v>B3_65</x:v>
      </x:c>
      <x:c r="B14" s="27" t="n">
        <x:v>3</x:v>
      </x:c>
      <x:c r="C14" s="27" t="n">
        <x:v>500</x:v>
      </x:c>
      <x:c r="D14" s="28" t="n">
        <x:v>65</x:v>
      </x:c>
      <x:c r="E14" s="28" t="n">
        <x:v>-39.85</x:v>
      </x:c>
      <x:c r="F14" s="26"/>
      <x:c r="G14" s="26"/>
      <x:c r="H14" s="25" t="str"/>
    </x:row>
    <x:row r="15">
      <x:c r="A15" t="str">
        <x:v>B3_85</x:v>
      </x:c>
      <x:c r="B15" s="27" t="n">
        <x:v>3</x:v>
      </x:c>
      <x:c r="C15" s="27" t="n">
        <x:v>500</x:v>
      </x:c>
      <x:c r="D15" s="28" t="n">
        <x:v>85</x:v>
      </x:c>
      <x:c r="E15" s="28" t="n">
        <x:v>-19.85</x:v>
      </x:c>
      <x:c r="F15" s="26"/>
      <x:c r="G15" s="26"/>
      <x:c r="H15" s="25" t="str"/>
    </x:row>
    <x:row r="16">
      <x:c r="A16" t="str">
        <x:v>B3_95</x:v>
      </x:c>
      <x:c r="B16" s="27" t="n">
        <x:v>3</x:v>
      </x:c>
      <x:c r="C16" s="27" t="n">
        <x:v>500</x:v>
      </x:c>
      <x:c r="D16" s="28" t="n">
        <x:v>95</x:v>
      </x:c>
      <x:c r="E16" s="28" t="n">
        <x:v>-9.85</x:v>
      </x:c>
      <x:c r="F16" s="26"/>
      <x:c r="G16" s="26"/>
      <x:c r="H16" s="25" t="str"/>
    </x:row>
    <x:row r="17">
      <x:c r="A17" t="str">
        <x:v>B4_45</x:v>
      </x:c>
      <x:c r="B17" s="27" t="n">
        <x:v>4</x:v>
      </x:c>
      <x:c r="C17" s="27" t="n">
        <x:v>841</x:v>
      </x:c>
      <x:c r="D17" s="28" t="n">
        <x:v>45</x:v>
      </x:c>
      <x:c r="E17" s="28" t="n">
        <x:v>-59.85</x:v>
      </x:c>
      <x:c r="F17" s="26"/>
      <x:c r="G17" s="26"/>
      <x:c r="H17" s="25" t="str"/>
    </x:row>
    <x:row r="18">
      <x:c r="A18" t="str">
        <x:v>B4_65</x:v>
      </x:c>
      <x:c r="B18" s="27" t="n">
        <x:v>4</x:v>
      </x:c>
      <x:c r="C18" s="27" t="n">
        <x:v>841</x:v>
      </x:c>
      <x:c r="D18" s="28" t="n">
        <x:v>65</x:v>
      </x:c>
      <x:c r="E18" s="28" t="n">
        <x:v>-39.85</x:v>
      </x:c>
      <x:c r="F18" s="26"/>
      <x:c r="G18" s="26"/>
      <x:c r="H18" s="25" t="str"/>
    </x:row>
    <x:row r="19">
      <x:c r="A19" t="str">
        <x:v>B4_85</x:v>
      </x:c>
      <x:c r="B19" s="27" t="n">
        <x:v>4</x:v>
      </x:c>
      <x:c r="C19" s="27" t="n">
        <x:v>841</x:v>
      </x:c>
      <x:c r="D19" s="28" t="n">
        <x:v>85</x:v>
      </x:c>
      <x:c r="E19" s="28" t="n">
        <x:v>-19.85</x:v>
      </x:c>
      <x:c r="F19" s="26"/>
      <x:c r="G19" s="26"/>
      <x:c r="H19" s="25" t="str"/>
    </x:row>
    <x:row r="20">
      <x:c r="A20" t="str">
        <x:v>B4_95</x:v>
      </x:c>
      <x:c r="B20" s="27" t="n">
        <x:v>4</x:v>
      </x:c>
      <x:c r="C20" s="27" t="n">
        <x:v>841</x:v>
      </x:c>
      <x:c r="D20" s="28" t="n">
        <x:v>95</x:v>
      </x:c>
      <x:c r="E20" s="28" t="n">
        <x:v>-9.85</x:v>
      </x:c>
      <x:c r="F20" s="26"/>
      <x:c r="G20" s="26"/>
      <x:c r="H20" s="25" t="str"/>
    </x:row>
    <x:row r="21">
      <x:c r="A21" t="str">
        <x:v>B5_45</x:v>
      </x:c>
      <x:c r="B21" s="27" t="n">
        <x:v>5</x:v>
      </x:c>
      <x:c r="C21" s="27" t="n">
        <x:v>1414</x:v>
      </x:c>
      <x:c r="D21" s="28" t="n">
        <x:v>45</x:v>
      </x:c>
      <x:c r="E21" s="28" t="n">
        <x:v>-59.85</x:v>
      </x:c>
      <x:c r="F21" s="26"/>
      <x:c r="G21" s="26"/>
      <x:c r="H21" s="25" t="str"/>
    </x:row>
    <x:row r="22">
      <x:c r="A22" t="str">
        <x:v>B5_65</x:v>
      </x:c>
      <x:c r="B22" s="27" t="n">
        <x:v>5</x:v>
      </x:c>
      <x:c r="C22" s="27" t="n">
        <x:v>1414</x:v>
      </x:c>
      <x:c r="D22" s="28" t="n">
        <x:v>65</x:v>
      </x:c>
      <x:c r="E22" s="28" t="n">
        <x:v>-39.85</x:v>
      </x:c>
      <x:c r="F22" s="26"/>
      <x:c r="G22" s="26"/>
      <x:c r="H22" s="25" t="str"/>
    </x:row>
    <x:row r="23">
      <x:c r="A23" t="str">
        <x:v>B5_85</x:v>
      </x:c>
      <x:c r="B23" s="27" t="n">
        <x:v>5</x:v>
      </x:c>
      <x:c r="C23" s="27" t="n">
        <x:v>1414</x:v>
      </x:c>
      <x:c r="D23" s="28" t="n">
        <x:v>85</x:v>
      </x:c>
      <x:c r="E23" s="28" t="n">
        <x:v>-19.85</x:v>
      </x:c>
      <x:c r="F23" s="26"/>
      <x:c r="G23" s="26"/>
      <x:c r="H23" s="25" t="str"/>
    </x:row>
    <x:row r="24">
      <x:c r="A24" t="str">
        <x:v>B5_95</x:v>
      </x:c>
      <x:c r="B24" s="27" t="n">
        <x:v>5</x:v>
      </x:c>
      <x:c r="C24" s="27" t="n">
        <x:v>1414</x:v>
      </x:c>
      <x:c r="D24" s="28" t="n">
        <x:v>95</x:v>
      </x:c>
      <x:c r="E24" s="28" t="n">
        <x:v>-9.85</x:v>
      </x:c>
      <x:c r="F24" s="26"/>
      <x:c r="G24" s="26"/>
      <x:c r="H24" s="25" t="str"/>
    </x:row>
    <x:row r="25">
      <x:c r="A25" t="str">
        <x:v>B6_45</x:v>
      </x:c>
      <x:c r="B25" s="27" t="n">
        <x:v>6</x:v>
      </x:c>
      <x:c r="C25" s="27" t="n">
        <x:v>2378</x:v>
      </x:c>
      <x:c r="D25" s="28" t="n">
        <x:v>45</x:v>
      </x:c>
      <x:c r="E25" s="28" t="n">
        <x:v>-59.85</x:v>
      </x:c>
      <x:c r="F25" s="26"/>
      <x:c r="G25" s="26"/>
      <x:c r="H25" s="25" t="str"/>
    </x:row>
    <x:row r="26">
      <x:c r="A26" t="str">
        <x:v>B6_65</x:v>
      </x:c>
      <x:c r="B26" s="27" t="n">
        <x:v>6</x:v>
      </x:c>
      <x:c r="C26" s="27" t="n">
        <x:v>2378</x:v>
      </x:c>
      <x:c r="D26" s="28" t="n">
        <x:v>65</x:v>
      </x:c>
      <x:c r="E26" s="28" t="n">
        <x:v>-39.85</x:v>
      </x:c>
      <x:c r="F26" s="26"/>
      <x:c r="G26" s="26"/>
      <x:c r="H26" s="25" t="str"/>
    </x:row>
    <x:row r="27">
      <x:c r="A27" t="str">
        <x:v>B6_85</x:v>
      </x:c>
      <x:c r="B27" s="27" t="n">
        <x:v>6</x:v>
      </x:c>
      <x:c r="C27" s="27" t="n">
        <x:v>2378</x:v>
      </x:c>
      <x:c r="D27" s="28" t="n">
        <x:v>85</x:v>
      </x:c>
      <x:c r="E27" s="28" t="n">
        <x:v>-19.85</x:v>
      </x:c>
      <x:c r="F27" s="26"/>
      <x:c r="G27" s="26"/>
      <x:c r="H27" s="25" t="str"/>
    </x:row>
    <x:row r="28">
      <x:c r="A28" t="str">
        <x:v>B6_95</x:v>
      </x:c>
      <x:c r="B28" s="27" t="n">
        <x:v>6</x:v>
      </x:c>
      <x:c r="C28" s="27" t="n">
        <x:v>2378</x:v>
      </x:c>
      <x:c r="D28" s="28" t="n">
        <x:v>95</x:v>
      </x:c>
      <x:c r="E28" s="28" t="n">
        <x:v>-9.85</x:v>
      </x:c>
      <x:c r="F28" s="26"/>
      <x:c r="G28" s="26"/>
      <x:c r="H28" s="25" t="str"/>
    </x:row>
    <x:row r="29">
      <x:c r="A29" t="str">
        <x:v>B7_45</x:v>
      </x:c>
      <x:c r="B29" s="27" t="n">
        <x:v>7</x:v>
      </x:c>
      <x:c r="C29" s="27" t="n">
        <x:v>4000</x:v>
      </x:c>
      <x:c r="D29" s="28" t="n">
        <x:v>45</x:v>
      </x:c>
      <x:c r="E29" s="28" t="n">
        <x:v>-59.85</x:v>
      </x:c>
      <x:c r="F29" s="26"/>
      <x:c r="G29" s="26"/>
      <x:c r="H29" s="25" t="str"/>
    </x:row>
    <x:row r="30">
      <x:c r="A30" t="str">
        <x:v>B7_65</x:v>
      </x:c>
      <x:c r="B30" s="27" t="n">
        <x:v>7</x:v>
      </x:c>
      <x:c r="C30" s="27" t="n">
        <x:v>4000</x:v>
      </x:c>
      <x:c r="D30" s="28" t="n">
        <x:v>65</x:v>
      </x:c>
      <x:c r="E30" s="28" t="n">
        <x:v>-39.85</x:v>
      </x:c>
      <x:c r="F30" s="26"/>
      <x:c r="G30" s="26"/>
      <x:c r="H30" s="25" t="str"/>
    </x:row>
    <x:row r="31">
      <x:c r="A31" t="str">
        <x:v>B7_85</x:v>
      </x:c>
      <x:c r="B31" s="27" t="n">
        <x:v>7</x:v>
      </x:c>
      <x:c r="C31" s="27" t="n">
        <x:v>4000</x:v>
      </x:c>
      <x:c r="D31" s="28" t="n">
        <x:v>85</x:v>
      </x:c>
      <x:c r="E31" s="28" t="n">
        <x:v>-19.85</x:v>
      </x:c>
      <x:c r="F31" s="26"/>
      <x:c r="G31" s="26"/>
      <x:c r="H31" s="25" t="str"/>
    </x:row>
    <x:row r="32">
      <x:c r="A32" t="str">
        <x:v>B7_95</x:v>
      </x:c>
      <x:c r="B32" s="27" t="n">
        <x:v>7</x:v>
      </x:c>
      <x:c r="C32" s="27" t="n">
        <x:v>4000</x:v>
      </x:c>
      <x:c r="D32" s="28" t="n">
        <x:v>95</x:v>
      </x:c>
      <x:c r="E32" s="28" t="n">
        <x:v>-9.85</x:v>
      </x:c>
      <x:c r="F32" s="26"/>
      <x:c r="G32" s="26"/>
      <x:c r="H32" s="25" t="str"/>
    </x:row>
    <x:row r="33">
      <x:c r="A33" t="str">
        <x:v>B8_45</x:v>
      </x:c>
      <x:c r="B33" s="27" t="n">
        <x:v>8</x:v>
      </x:c>
      <x:c r="C33" s="27" t="n">
        <x:v>6727</x:v>
      </x:c>
      <x:c r="D33" s="28" t="n">
        <x:v>45</x:v>
      </x:c>
      <x:c r="E33" s="28" t="n">
        <x:v>-59.85</x:v>
      </x:c>
      <x:c r="F33" s="26"/>
      <x:c r="G33" s="26"/>
      <x:c r="H33" s="25" t="str"/>
    </x:row>
    <x:row r="34">
      <x:c r="A34" t="str">
        <x:v>B8_65</x:v>
      </x:c>
      <x:c r="B34" s="27" t="n">
        <x:v>8</x:v>
      </x:c>
      <x:c r="C34" s="27" t="n">
        <x:v>6727</x:v>
      </x:c>
      <x:c r="D34" s="28" t="n">
        <x:v>65</x:v>
      </x:c>
      <x:c r="E34" s="28" t="n">
        <x:v>-39.85</x:v>
      </x:c>
      <x:c r="F34" s="26"/>
      <x:c r="G34" s="26"/>
      <x:c r="H34" s="25" t="str"/>
    </x:row>
    <x:row r="35">
      <x:c r="A35" t="str">
        <x:v>B8_85</x:v>
      </x:c>
      <x:c r="B35" s="27" t="n">
        <x:v>8</x:v>
      </x:c>
      <x:c r="C35" s="27" t="n">
        <x:v>6727</x:v>
      </x:c>
      <x:c r="D35" s="28" t="n">
        <x:v>85</x:v>
      </x:c>
      <x:c r="E35" s="28" t="n">
        <x:v>-19.85</x:v>
      </x:c>
      <x:c r="F35" s="26"/>
      <x:c r="G35" s="26"/>
      <x:c r="H35" s="25" t="str"/>
    </x:row>
    <x:row r="36">
      <x:c r="A36" t="str">
        <x:v>B8_95</x:v>
      </x:c>
      <x:c r="B36" s="27" t="n">
        <x:v>8</x:v>
      </x:c>
      <x:c r="C36" s="27" t="n">
        <x:v>6727</x:v>
      </x:c>
      <x:c r="D36" s="28" t="n">
        <x:v>95</x:v>
      </x:c>
      <x:c r="E36" s="28" t="n">
        <x:v>-9.85</x:v>
      </x:c>
      <x:c r="F36" s="26"/>
      <x:c r="G36" s="26"/>
      <x:c r="H36" s="25" t="str"/>
    </x:row>
  </x:sheetData>
  <x:mergeCells>
    <x:mergeCell ref="A1:H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16" hidden="0" customWidth="1"/>
    <x:col min="18" max="18" width="16" hidden="0" customWidth="1"/>
  </x:cols>
  <x:sheetData>
    <x:row r="1">
      <x:c r="A1" s="3" t="str">
        <x:v>Análise automática da identificação comum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</x:row>
    <x:row r="2">
      <x:c r="A2" s="3"/>
      <x:c r="B2" s="3"/>
      <x:c r="C2" s="3"/>
      <x:c r="D2" s="3"/>
      <x:c r="E2" s="3"/>
      <x:c r="F2" s="3"/>
      <x:c r="G2" s="3"/>
      <x:c r="H2" s="3"/>
      <x:c r="I2" s="3"/>
      <x:c r="J2" s="3"/>
      <x:c r="K2" s="3"/>
      <x:c r="L2" s="3"/>
      <x:c r="M2" s="3"/>
      <x:c r="N2" s="3"/>
      <x:c r="O2" s="3"/>
      <x:c r="P2" s="3"/>
      <x:c r="Q2" s="3"/>
      <x:c r="R2" s="3"/>
    </x:row>
    <x:row r="4">
      <x:c r="A4" s="20" t="str">
        <x:v>test_id</x:v>
      </x:c>
      <x:c r="B4" s="24" t="str">
        <x:v>band</x:v>
      </x:c>
      <x:c r="C4" s="24" t="str">
        <x:v>frequency_hz</x:v>
      </x:c>
      <x:c r="D4" s="24" t="str">
        <x:v>level_db_spl</x:v>
      </x:c>
      <x:c r="E4" s="24" t="str">
        <x:v>dac_dbv</x:v>
      </x:c>
      <x:c r="F4" s="24" t="str">
        <x:v>unity_dbv</x:v>
      </x:c>
      <x:c r="G4" s="24" t="str">
        <x:v>ident_dbv</x:v>
      </x:c>
      <x:c r="H4" s="24" t="str">
        <x:v>insertion_db</x:v>
      </x:c>
      <x:c r="I4" s="24" t="str">
        <x:v>output_ratio</x:v>
      </x:c>
      <x:c r="J4" s="24" t="str">
        <x:v>a</x:v>
      </x:c>
      <x:c r="K4" s="24" t="str">
        <x:v>b</x:v>
      </x:c>
      <x:c r="L4" s="24" t="str">
        <x:v>remainder_sq</x:v>
      </x:c>
      <x:c r="M4" s="24" t="str">
        <x:v>unity_sq</x:v>
      </x:c>
      <x:c r="N4" s="24" t="str">
        <x:v>quadratic_c</x:v>
      </x:c>
      <x:c r="O4" s="24" t="str">
        <x:v>discriminant</x:v>
      </x:c>
      <x:c r="P4" s="24" t="str">
        <x:v>compressor_linear_gain</x:v>
      </x:c>
      <x:c r="Q4" s="24" t="str">
        <x:v>identification_gain_db</x:v>
      </x:c>
      <x:c r="R4" s="21" t="str">
        <x:v>detector_dbfs</x:v>
      </x:c>
    </x:row>
    <x:row r="5">
      <x:c r="A5" t="str">
        <x:f>'Measurements'!A5</x:f>
        <x:v>B1_45</x:v>
      </x:c>
      <x:c r="B5" s="27" t="n">
        <x:f>'Measurements'!B5</x:f>
        <x:v>1</x:v>
      </x:c>
      <x:c r="C5" s="27" t="n">
        <x:f>'Measurements'!C5</x:f>
        <x:v>177</x:v>
      </x:c>
      <x:c r="D5" s="32" t="n">
        <x:f>'Measurements'!D5</x:f>
        <x:v>45</x:v>
      </x:c>
      <x:c r="E5" s="32" t="n">
        <x:f>'Measurements'!E5</x:f>
        <x:v>-59.85</x:v>
      </x:c>
      <x:c r="F5" s="32" t="str">
        <x:f>IF('Measurements'!F5="","",'Measurements'!F5)</x:f>
      </x:c>
      <x:c r="G5" s="32" t="str">
        <x:f>IF('Measurements'!G5="","",'Measurements'!G5)</x:f>
      </x:c>
      <x:c r="H5" s="31" t="str">
        <x:f>IF(COUNT(F5:G5)=2,G5-F5,"")</x:f>
      </x:c>
      <x:c r="I5" s="31" t="str">
        <x:f>IF(H5="","",POWER(10,H5/20))</x:f>
      </x:c>
      <x:c r="J5" s="31" t="n">
        <x:f>'Model'!G5</x:f>
        <x:v>0.5446903112313478</x:v>
      </x:c>
      <x:c r="K5" s="31" t="n">
        <x:f>'Model'!H5</x:f>
        <x:v>0.38672506755867897</x:v>
      </x:c>
      <x:c r="L5" s="31" t="n">
        <x:f>'Model'!I5</x:f>
        <x:v>0.06864996682859954</x:v>
      </x:c>
      <x:c r="M5" s="31" t="n">
        <x:f>'Model'!J5</x:f>
        <x:v>1.0000653456186264</x:v>
      </x:c>
      <x:c r="N5" s="31" t="str">
        <x:f>IF(I5="","",L5-POWER(I5,2)*M5)</x:f>
      </x:c>
      <x:c r="O5" s="31" t="str">
        <x:f>IF(N5="","",POWER(K5,2)-4*J5*N5)</x:f>
      </x:c>
      <x:c r="P5" s="31" t="str">
        <x:f>IF(O5="","",(-K5+SQRT(O5))/(2*J5))</x:f>
      </x:c>
      <x:c r="Q5" s="31" t="str">
        <x:f>IF(P5="","",20*LOG10(P5))</x:f>
      </x:c>
      <x:c r="R5" s="31" t="str">
        <x:f>IF(Q5="","",-4*(Q5+10))</x:f>
      </x:c>
    </x:row>
    <x:row r="6">
      <x:c r="A6" t="str">
        <x:f>'Measurements'!A6</x:f>
        <x:v>B1_65</x:v>
      </x:c>
      <x:c r="B6" s="27" t="n">
        <x:f>'Measurements'!B6</x:f>
        <x:v>1</x:v>
      </x:c>
      <x:c r="C6" s="27" t="n">
        <x:f>'Measurements'!C6</x:f>
        <x:v>177</x:v>
      </x:c>
      <x:c r="D6" s="32" t="n">
        <x:f>'Measurements'!D6</x:f>
        <x:v>65</x:v>
      </x:c>
      <x:c r="E6" s="32" t="n">
        <x:f>'Measurements'!E6</x:f>
        <x:v>-39.85</x:v>
      </x:c>
      <x:c r="F6" s="32" t="str">
        <x:f>IF('Measurements'!F6="","",'Measurements'!F6)</x:f>
      </x:c>
      <x:c r="G6" s="32" t="str">
        <x:f>IF('Measurements'!G6="","",'Measurements'!G6)</x:f>
      </x:c>
      <x:c r="H6" s="31" t="str">
        <x:f>IF(COUNT(F6:G6)=2,G6-F6,"")</x:f>
      </x:c>
      <x:c r="I6" s="31" t="str">
        <x:f>IF(H6="","",POWER(10,H6/20))</x:f>
      </x:c>
      <x:c r="J6" s="31" t="n">
        <x:f>'Model'!G5</x:f>
        <x:v>0.5446903112313478</x:v>
      </x:c>
      <x:c r="K6" s="31" t="n">
        <x:f>'Model'!H5</x:f>
        <x:v>0.38672506755867897</x:v>
      </x:c>
      <x:c r="L6" s="31" t="n">
        <x:f>'Model'!I5</x:f>
        <x:v>0.06864996682859954</x:v>
      </x:c>
      <x:c r="M6" s="31" t="n">
        <x:f>'Model'!J5</x:f>
        <x:v>1.0000653456186264</x:v>
      </x:c>
      <x:c r="N6" s="31" t="str">
        <x:f>IF(I6="","",L6-POWER(I6,2)*M6)</x:f>
      </x:c>
      <x:c r="O6" s="31" t="str">
        <x:f>IF(N6="","",POWER(K6,2)-4*J6*N6)</x:f>
      </x:c>
      <x:c r="P6" s="31" t="str">
        <x:f>IF(O6="","",(-K6+SQRT(O6))/(2*J6))</x:f>
      </x:c>
      <x:c r="Q6" s="31" t="str">
        <x:f>IF(P6="","",20*LOG10(P6))</x:f>
      </x:c>
      <x:c r="R6" s="31" t="str">
        <x:f>IF(Q6="","",-4*(Q6+10))</x:f>
      </x:c>
    </x:row>
    <x:row r="7">
      <x:c r="A7" t="str">
        <x:f>'Measurements'!A7</x:f>
        <x:v>B1_85</x:v>
      </x:c>
      <x:c r="B7" s="27" t="n">
        <x:f>'Measurements'!B7</x:f>
        <x:v>1</x:v>
      </x:c>
      <x:c r="C7" s="27" t="n">
        <x:f>'Measurements'!C7</x:f>
        <x:v>177</x:v>
      </x:c>
      <x:c r="D7" s="32" t="n">
        <x:f>'Measurements'!D7</x:f>
        <x:v>85</x:v>
      </x:c>
      <x:c r="E7" s="32" t="n">
        <x:f>'Measurements'!E7</x:f>
        <x:v>-19.85</x:v>
      </x:c>
      <x:c r="F7" s="32" t="str">
        <x:f>IF('Measurements'!F7="","",'Measurements'!F7)</x:f>
      </x:c>
      <x:c r="G7" s="32" t="str">
        <x:f>IF('Measurements'!G7="","",'Measurements'!G7)</x:f>
      </x:c>
      <x:c r="H7" s="31" t="str">
        <x:f>IF(COUNT(F7:G7)=2,G7-F7,"")</x:f>
      </x:c>
      <x:c r="I7" s="31" t="str">
        <x:f>IF(H7="","",POWER(10,H7/20))</x:f>
      </x:c>
      <x:c r="J7" s="31" t="n">
        <x:f>'Model'!G5</x:f>
        <x:v>0.5446903112313478</x:v>
      </x:c>
      <x:c r="K7" s="31" t="n">
        <x:f>'Model'!H5</x:f>
        <x:v>0.38672506755867897</x:v>
      </x:c>
      <x:c r="L7" s="31" t="n">
        <x:f>'Model'!I5</x:f>
        <x:v>0.06864996682859954</x:v>
      </x:c>
      <x:c r="M7" s="31" t="n">
        <x:f>'Model'!J5</x:f>
        <x:v>1.0000653456186264</x:v>
      </x:c>
      <x:c r="N7" s="31" t="str">
        <x:f>IF(I7="","",L7-POWER(I7,2)*M7)</x:f>
      </x:c>
      <x:c r="O7" s="31" t="str">
        <x:f>IF(N7="","",POWER(K7,2)-4*J7*N7)</x:f>
      </x:c>
      <x:c r="P7" s="31" t="str">
        <x:f>IF(O7="","",(-K7+SQRT(O7))/(2*J7))</x:f>
      </x:c>
      <x:c r="Q7" s="31" t="str">
        <x:f>IF(P7="","",20*LOG10(P7))</x:f>
      </x:c>
      <x:c r="R7" s="31" t="str">
        <x:f>IF(Q7="","",-4*(Q7+10))</x:f>
      </x:c>
    </x:row>
    <x:row r="8">
      <x:c r="A8" t="str">
        <x:f>'Measurements'!A8</x:f>
        <x:v>B1_95</x:v>
      </x:c>
      <x:c r="B8" s="27" t="n">
        <x:f>'Measurements'!B8</x:f>
        <x:v>1</x:v>
      </x:c>
      <x:c r="C8" s="27" t="n">
        <x:f>'Measurements'!C8</x:f>
        <x:v>177</x:v>
      </x:c>
      <x:c r="D8" s="32" t="n">
        <x:f>'Measurements'!D8</x:f>
        <x:v>95</x:v>
      </x:c>
      <x:c r="E8" s="32" t="n">
        <x:f>'Measurements'!E8</x:f>
        <x:v>-9.85</x:v>
      </x:c>
      <x:c r="F8" s="32" t="str">
        <x:f>IF('Measurements'!F8="","",'Measurements'!F8)</x:f>
      </x:c>
      <x:c r="G8" s="32" t="str">
        <x:f>IF('Measurements'!G8="","",'Measurements'!G8)</x:f>
      </x:c>
      <x:c r="H8" s="31" t="str">
        <x:f>IF(COUNT(F8:G8)=2,G8-F8,"")</x:f>
      </x:c>
      <x:c r="I8" s="31" t="str">
        <x:f>IF(H8="","",POWER(10,H8/20))</x:f>
      </x:c>
      <x:c r="J8" s="31" t="n">
        <x:f>'Model'!G5</x:f>
        <x:v>0.5446903112313478</x:v>
      </x:c>
      <x:c r="K8" s="31" t="n">
        <x:f>'Model'!H5</x:f>
        <x:v>0.38672506755867897</x:v>
      </x:c>
      <x:c r="L8" s="31" t="n">
        <x:f>'Model'!I5</x:f>
        <x:v>0.06864996682859954</x:v>
      </x:c>
      <x:c r="M8" s="31" t="n">
        <x:f>'Model'!J5</x:f>
        <x:v>1.0000653456186264</x:v>
      </x:c>
      <x:c r="N8" s="31" t="str">
        <x:f>IF(I8="","",L8-POWER(I8,2)*M8)</x:f>
      </x:c>
      <x:c r="O8" s="31" t="str">
        <x:f>IF(N8="","",POWER(K8,2)-4*J8*N8)</x:f>
      </x:c>
      <x:c r="P8" s="31" t="str">
        <x:f>IF(O8="","",(-K8+SQRT(O8))/(2*J8))</x:f>
      </x:c>
      <x:c r="Q8" s="31" t="str">
        <x:f>IF(P8="","",20*LOG10(P8))</x:f>
      </x:c>
      <x:c r="R8" s="31" t="str">
        <x:f>IF(Q8="","",-4*(Q8+10))</x:f>
      </x:c>
    </x:row>
    <x:row r="9">
      <x:c r="A9" t="str">
        <x:f>'Measurements'!A9</x:f>
        <x:v>B2_45</x:v>
      </x:c>
      <x:c r="B9" s="27" t="n">
        <x:f>'Measurements'!B9</x:f>
        <x:v>2</x:v>
      </x:c>
      <x:c r="C9" s="27" t="n">
        <x:f>'Measurements'!C9</x:f>
        <x:v>297</x:v>
      </x:c>
      <x:c r="D9" s="32" t="n">
        <x:f>'Measurements'!D9</x:f>
        <x:v>45</x:v>
      </x:c>
      <x:c r="E9" s="32" t="n">
        <x:f>'Measurements'!E9</x:f>
        <x:v>-59.85</x:v>
      </x:c>
      <x:c r="F9" s="32" t="str">
        <x:f>IF('Measurements'!F9="","",'Measurements'!F9)</x:f>
      </x:c>
      <x:c r="G9" s="32" t="str">
        <x:f>IF('Measurements'!G9="","",'Measurements'!G9)</x:f>
      </x:c>
      <x:c r="H9" s="31" t="str">
        <x:f>IF(COUNT(F9:G9)=2,G9-F9,"")</x:f>
      </x:c>
      <x:c r="I9" s="31" t="str">
        <x:f>IF(H9="","",POWER(10,H9/20))</x:f>
      </x:c>
      <x:c r="J9" s="31" t="n">
        <x:f>'Model'!G6</x:f>
        <x:v>0.2976776446658508</x:v>
      </x:c>
      <x:c r="K9" s="31" t="n">
        <x:f>'Model'!H6</x:f>
        <x:v>0.49590217090917516</x:v>
      </x:c>
      <x:c r="L9" s="31" t="n">
        <x:f>'Model'!I6</x:f>
        <x:v>0.2065313233298501</x:v>
      </x:c>
      <x:c r="M9" s="31" t="n">
        <x:f>'Model'!J6</x:f>
        <x:v>1.0001111389048762</x:v>
      </x:c>
      <x:c r="N9" s="31" t="str">
        <x:f>IF(I9="","",L9-POWER(I9,2)*M9)</x:f>
      </x:c>
      <x:c r="O9" s="31" t="str">
        <x:f>IF(N9="","",POWER(K9,2)-4*J9*N9)</x:f>
      </x:c>
      <x:c r="P9" s="31" t="str">
        <x:f>IF(O9="","",(-K9+SQRT(O9))/(2*J9))</x:f>
      </x:c>
      <x:c r="Q9" s="31" t="str">
        <x:f>IF(P9="","",20*LOG10(P9))</x:f>
      </x:c>
      <x:c r="R9" s="31" t="str">
        <x:f>IF(Q9="","",-4*(Q9+10))</x:f>
      </x:c>
    </x:row>
    <x:row r="10">
      <x:c r="A10" t="str">
        <x:f>'Measurements'!A10</x:f>
        <x:v>B2_65</x:v>
      </x:c>
      <x:c r="B10" s="27" t="n">
        <x:f>'Measurements'!B10</x:f>
        <x:v>2</x:v>
      </x:c>
      <x:c r="C10" s="27" t="n">
        <x:f>'Measurements'!C10</x:f>
        <x:v>297</x:v>
      </x:c>
      <x:c r="D10" s="32" t="n">
        <x:f>'Measurements'!D10</x:f>
        <x:v>65</x:v>
      </x:c>
      <x:c r="E10" s="32" t="n">
        <x:f>'Measurements'!E10</x:f>
        <x:v>-39.85</x:v>
      </x:c>
      <x:c r="F10" s="32" t="str">
        <x:f>IF('Measurements'!F10="","",'Measurements'!F10)</x:f>
      </x:c>
      <x:c r="G10" s="32" t="str">
        <x:f>IF('Measurements'!G10="","",'Measurements'!G10)</x:f>
      </x:c>
      <x:c r="H10" s="31" t="str">
        <x:f>IF(COUNT(F10:G10)=2,G10-F10,"")</x:f>
      </x:c>
      <x:c r="I10" s="31" t="str">
        <x:f>IF(H10="","",POWER(10,H10/20))</x:f>
      </x:c>
      <x:c r="J10" s="31" t="n">
        <x:f>'Model'!G6</x:f>
        <x:v>0.2976776446658508</x:v>
      </x:c>
      <x:c r="K10" s="31" t="n">
        <x:f>'Model'!H6</x:f>
        <x:v>0.49590217090917516</x:v>
      </x:c>
      <x:c r="L10" s="31" t="n">
        <x:f>'Model'!I6</x:f>
        <x:v>0.2065313233298501</x:v>
      </x:c>
      <x:c r="M10" s="31" t="n">
        <x:f>'Model'!J6</x:f>
        <x:v>1.0001111389048762</x:v>
      </x:c>
      <x:c r="N10" s="31" t="str">
        <x:f>IF(I10="","",L10-POWER(I10,2)*M10)</x:f>
      </x:c>
      <x:c r="O10" s="31" t="str">
        <x:f>IF(N10="","",POWER(K10,2)-4*J10*N10)</x:f>
      </x:c>
      <x:c r="P10" s="31" t="str">
        <x:f>IF(O10="","",(-K10+SQRT(O10))/(2*J10))</x:f>
      </x:c>
      <x:c r="Q10" s="31" t="str">
        <x:f>IF(P10="","",20*LOG10(P10))</x:f>
      </x:c>
      <x:c r="R10" s="31" t="str">
        <x:f>IF(Q10="","",-4*(Q10+10))</x:f>
      </x:c>
    </x:row>
    <x:row r="11">
      <x:c r="A11" t="str">
        <x:f>'Measurements'!A11</x:f>
        <x:v>B2_85</x:v>
      </x:c>
      <x:c r="B11" s="27" t="n">
        <x:f>'Measurements'!B11</x:f>
        <x:v>2</x:v>
      </x:c>
      <x:c r="C11" s="27" t="n">
        <x:f>'Measurements'!C11</x:f>
        <x:v>297</x:v>
      </x:c>
      <x:c r="D11" s="32" t="n">
        <x:f>'Measurements'!D11</x:f>
        <x:v>85</x:v>
      </x:c>
      <x:c r="E11" s="32" t="n">
        <x:f>'Measurements'!E11</x:f>
        <x:v>-19.85</x:v>
      </x:c>
      <x:c r="F11" s="32" t="str">
        <x:f>IF('Measurements'!F11="","",'Measurements'!F11)</x:f>
      </x:c>
      <x:c r="G11" s="32" t="str">
        <x:f>IF('Measurements'!G11="","",'Measurements'!G11)</x:f>
      </x:c>
      <x:c r="H11" s="31" t="str">
        <x:f>IF(COUNT(F11:G11)=2,G11-F11,"")</x:f>
      </x:c>
      <x:c r="I11" s="31" t="str">
        <x:f>IF(H11="","",POWER(10,H11/20))</x:f>
      </x:c>
      <x:c r="J11" s="31" t="n">
        <x:f>'Model'!G6</x:f>
        <x:v>0.2976776446658508</x:v>
      </x:c>
      <x:c r="K11" s="31" t="n">
        <x:f>'Model'!H6</x:f>
        <x:v>0.49590217090917516</x:v>
      </x:c>
      <x:c r="L11" s="31" t="n">
        <x:f>'Model'!I6</x:f>
        <x:v>0.2065313233298501</x:v>
      </x:c>
      <x:c r="M11" s="31" t="n">
        <x:f>'Model'!J6</x:f>
        <x:v>1.0001111389048762</x:v>
      </x:c>
      <x:c r="N11" s="31" t="str">
        <x:f>IF(I11="","",L11-POWER(I11,2)*M11)</x:f>
      </x:c>
      <x:c r="O11" s="31" t="str">
        <x:f>IF(N11="","",POWER(K11,2)-4*J11*N11)</x:f>
      </x:c>
      <x:c r="P11" s="31" t="str">
        <x:f>IF(O11="","",(-K11+SQRT(O11))/(2*J11))</x:f>
      </x:c>
      <x:c r="Q11" s="31" t="str">
        <x:f>IF(P11="","",20*LOG10(P11))</x:f>
      </x:c>
      <x:c r="R11" s="31" t="str">
        <x:f>IF(Q11="","",-4*(Q11+10))</x:f>
      </x:c>
    </x:row>
    <x:row r="12">
      <x:c r="A12" t="str">
        <x:f>'Measurements'!A12</x:f>
        <x:v>B2_95</x:v>
      </x:c>
      <x:c r="B12" s="27" t="n">
        <x:f>'Measurements'!B12</x:f>
        <x:v>2</x:v>
      </x:c>
      <x:c r="C12" s="27" t="n">
        <x:f>'Measurements'!C12</x:f>
        <x:v>297</x:v>
      </x:c>
      <x:c r="D12" s="32" t="n">
        <x:f>'Measurements'!D12</x:f>
        <x:v>95</x:v>
      </x:c>
      <x:c r="E12" s="32" t="n">
        <x:f>'Measurements'!E12</x:f>
        <x:v>-9.85</x:v>
      </x:c>
      <x:c r="F12" s="32" t="str">
        <x:f>IF('Measurements'!F12="","",'Measurements'!F12)</x:f>
      </x:c>
      <x:c r="G12" s="32" t="str">
        <x:f>IF('Measurements'!G12="","",'Measurements'!G12)</x:f>
      </x:c>
      <x:c r="H12" s="31" t="str">
        <x:f>IF(COUNT(F12:G12)=2,G12-F12,"")</x:f>
      </x:c>
      <x:c r="I12" s="31" t="str">
        <x:f>IF(H12="","",POWER(10,H12/20))</x:f>
      </x:c>
      <x:c r="J12" s="31" t="n">
        <x:f>'Model'!G6</x:f>
        <x:v>0.2976776446658508</x:v>
      </x:c>
      <x:c r="K12" s="31" t="n">
        <x:f>'Model'!H6</x:f>
        <x:v>0.49590217090917516</x:v>
      </x:c>
      <x:c r="L12" s="31" t="n">
        <x:f>'Model'!I6</x:f>
        <x:v>0.2065313233298501</x:v>
      </x:c>
      <x:c r="M12" s="31" t="n">
        <x:f>'Model'!J6</x:f>
        <x:v>1.0001111389048762</x:v>
      </x:c>
      <x:c r="N12" s="31" t="str">
        <x:f>IF(I12="","",L12-POWER(I12,2)*M12)</x:f>
      </x:c>
      <x:c r="O12" s="31" t="str">
        <x:f>IF(N12="","",POWER(K12,2)-4*J12*N12)</x:f>
      </x:c>
      <x:c r="P12" s="31" t="str">
        <x:f>IF(O12="","",(-K12+SQRT(O12))/(2*J12))</x:f>
      </x:c>
      <x:c r="Q12" s="31" t="str">
        <x:f>IF(P12="","",20*LOG10(P12))</x:f>
      </x:c>
      <x:c r="R12" s="31" t="str">
        <x:f>IF(Q12="","",-4*(Q12+10))</x:f>
      </x:c>
    </x:row>
    <x:row r="13">
      <x:c r="A13" t="str">
        <x:f>'Measurements'!A13</x:f>
        <x:v>B3_45</x:v>
      </x:c>
      <x:c r="B13" s="27" t="n">
        <x:f>'Measurements'!B13</x:f>
        <x:v>3</x:v>
      </x:c>
      <x:c r="C13" s="27" t="n">
        <x:f>'Measurements'!C13</x:f>
        <x:v>500</x:v>
      </x:c>
      <x:c r="D13" s="32" t="n">
        <x:f>'Measurements'!D13</x:f>
        <x:v>45</x:v>
      </x:c>
      <x:c r="E13" s="32" t="n">
        <x:f>'Measurements'!E13</x:f>
        <x:v>-59.85</x:v>
      </x:c>
      <x:c r="F13" s="32" t="str">
        <x:f>IF('Measurements'!F13="","",'Measurements'!F13)</x:f>
      </x:c>
      <x:c r="G13" s="32" t="str">
        <x:f>IF('Measurements'!G13="","",'Measurements'!G13)</x:f>
      </x:c>
      <x:c r="H13" s="31" t="str">
        <x:f>IF(COUNT(F13:G13)=2,G13-F13,"")</x:f>
      </x:c>
      <x:c r="I13" s="31" t="str">
        <x:f>IF(H13="","",POWER(10,H13/20))</x:f>
      </x:c>
      <x:c r="J13" s="31" t="n">
        <x:f>'Model'!G7</x:f>
        <x:v>0.27377559877974483</x:v>
      </x:c>
      <x:c r="K13" s="31" t="n">
        <x:f>'Model'!H7</x:f>
        <x:v>0.49894506404442746</x:v>
      </x:c>
      <x:c r="L13" s="31" t="n">
        <x:f>'Model'!I7</x:f>
        <x:v>0.227326912575212</x:v>
      </x:c>
      <x:c r="M13" s="31" t="n">
        <x:f>'Model'!J7</x:f>
        <x:v>1.000047575399384</x:v>
      </x:c>
      <x:c r="N13" s="31" t="str">
        <x:f>IF(I13="","",L13-POWER(I13,2)*M13)</x:f>
      </x:c>
      <x:c r="O13" s="31" t="str">
        <x:f>IF(N13="","",POWER(K13,2)-4*J13*N13)</x:f>
      </x:c>
      <x:c r="P13" s="31" t="str">
        <x:f>IF(O13="","",(-K13+SQRT(O13))/(2*J13))</x:f>
      </x:c>
      <x:c r="Q13" s="31" t="str">
        <x:f>IF(P13="","",20*LOG10(P13))</x:f>
      </x:c>
      <x:c r="R13" s="31" t="str">
        <x:f>IF(Q13="","",-4*(Q13+10))</x:f>
      </x:c>
    </x:row>
    <x:row r="14">
      <x:c r="A14" t="str">
        <x:f>'Measurements'!A14</x:f>
        <x:v>B3_65</x:v>
      </x:c>
      <x:c r="B14" s="27" t="n">
        <x:f>'Measurements'!B14</x:f>
        <x:v>3</x:v>
      </x:c>
      <x:c r="C14" s="27" t="n">
        <x:f>'Measurements'!C14</x:f>
        <x:v>500</x:v>
      </x:c>
      <x:c r="D14" s="32" t="n">
        <x:f>'Measurements'!D14</x:f>
        <x:v>65</x:v>
      </x:c>
      <x:c r="E14" s="32" t="n">
        <x:f>'Measurements'!E14</x:f>
        <x:v>-39.85</x:v>
      </x:c>
      <x:c r="F14" s="32" t="str">
        <x:f>IF('Measurements'!F14="","",'Measurements'!F14)</x:f>
      </x:c>
      <x:c r="G14" s="32" t="str">
        <x:f>IF('Measurements'!G14="","",'Measurements'!G14)</x:f>
      </x:c>
      <x:c r="H14" s="31" t="str">
        <x:f>IF(COUNT(F14:G14)=2,G14-F14,"")</x:f>
      </x:c>
      <x:c r="I14" s="31" t="str">
        <x:f>IF(H14="","",POWER(10,H14/20))</x:f>
      </x:c>
      <x:c r="J14" s="31" t="n">
        <x:f>'Model'!G7</x:f>
        <x:v>0.27377559877974483</x:v>
      </x:c>
      <x:c r="K14" s="31" t="n">
        <x:f>'Model'!H7</x:f>
        <x:v>0.49894506404442746</x:v>
      </x:c>
      <x:c r="L14" s="31" t="n">
        <x:f>'Model'!I7</x:f>
        <x:v>0.227326912575212</x:v>
      </x:c>
      <x:c r="M14" s="31" t="n">
        <x:f>'Model'!J7</x:f>
        <x:v>1.000047575399384</x:v>
      </x:c>
      <x:c r="N14" s="31" t="str">
        <x:f>IF(I14="","",L14-POWER(I14,2)*M14)</x:f>
      </x:c>
      <x:c r="O14" s="31" t="str">
        <x:f>IF(N14="","",POWER(K14,2)-4*J14*N14)</x:f>
      </x:c>
      <x:c r="P14" s="31" t="str">
        <x:f>IF(O14="","",(-K14+SQRT(O14))/(2*J14))</x:f>
      </x:c>
      <x:c r="Q14" s="31" t="str">
        <x:f>IF(P14="","",20*LOG10(P14))</x:f>
      </x:c>
      <x:c r="R14" s="31" t="str">
        <x:f>IF(Q14="","",-4*(Q14+10))</x:f>
      </x:c>
    </x:row>
    <x:row r="15">
      <x:c r="A15" t="str">
        <x:f>'Measurements'!A15</x:f>
        <x:v>B3_85</x:v>
      </x:c>
      <x:c r="B15" s="27" t="n">
        <x:f>'Measurements'!B15</x:f>
        <x:v>3</x:v>
      </x:c>
      <x:c r="C15" s="27" t="n">
        <x:f>'Measurements'!C15</x:f>
        <x:v>500</x:v>
      </x:c>
      <x:c r="D15" s="32" t="n">
        <x:f>'Measurements'!D15</x:f>
        <x:v>85</x:v>
      </x:c>
      <x:c r="E15" s="32" t="n">
        <x:f>'Measurements'!E15</x:f>
        <x:v>-19.85</x:v>
      </x:c>
      <x:c r="F15" s="32" t="str">
        <x:f>IF('Measurements'!F15="","",'Measurements'!F15)</x:f>
      </x:c>
      <x:c r="G15" s="32" t="str">
        <x:f>IF('Measurements'!G15="","",'Measurements'!G15)</x:f>
      </x:c>
      <x:c r="H15" s="31" t="str">
        <x:f>IF(COUNT(F15:G15)=2,G15-F15,"")</x:f>
      </x:c>
      <x:c r="I15" s="31" t="str">
        <x:f>IF(H15="","",POWER(10,H15/20))</x:f>
      </x:c>
      <x:c r="J15" s="31" t="n">
        <x:f>'Model'!G7</x:f>
        <x:v>0.27377559877974483</x:v>
      </x:c>
      <x:c r="K15" s="31" t="n">
        <x:f>'Model'!H7</x:f>
        <x:v>0.49894506404442746</x:v>
      </x:c>
      <x:c r="L15" s="31" t="n">
        <x:f>'Model'!I7</x:f>
        <x:v>0.227326912575212</x:v>
      </x:c>
      <x:c r="M15" s="31" t="n">
        <x:f>'Model'!J7</x:f>
        <x:v>1.000047575399384</x:v>
      </x:c>
      <x:c r="N15" s="31" t="str">
        <x:f>IF(I15="","",L15-POWER(I15,2)*M15)</x:f>
      </x:c>
      <x:c r="O15" s="31" t="str">
        <x:f>IF(N15="","",POWER(K15,2)-4*J15*N15)</x:f>
      </x:c>
      <x:c r="P15" s="31" t="str">
        <x:f>IF(O15="","",(-K15+SQRT(O15))/(2*J15))</x:f>
      </x:c>
      <x:c r="Q15" s="31" t="str">
        <x:f>IF(P15="","",20*LOG10(P15))</x:f>
      </x:c>
      <x:c r="R15" s="31" t="str">
        <x:f>IF(Q15="","",-4*(Q15+10))</x:f>
      </x:c>
    </x:row>
    <x:row r="16">
      <x:c r="A16" t="str">
        <x:f>'Measurements'!A16</x:f>
        <x:v>B3_95</x:v>
      </x:c>
      <x:c r="B16" s="27" t="n">
        <x:f>'Measurements'!B16</x:f>
        <x:v>3</x:v>
      </x:c>
      <x:c r="C16" s="27" t="n">
        <x:f>'Measurements'!C16</x:f>
        <x:v>500</x:v>
      </x:c>
      <x:c r="D16" s="32" t="n">
        <x:f>'Measurements'!D16</x:f>
        <x:v>95</x:v>
      </x:c>
      <x:c r="E16" s="32" t="n">
        <x:f>'Measurements'!E16</x:f>
        <x:v>-9.85</x:v>
      </x:c>
      <x:c r="F16" s="32" t="str">
        <x:f>IF('Measurements'!F16="","",'Measurements'!F16)</x:f>
      </x:c>
      <x:c r="G16" s="32" t="str">
        <x:f>IF('Measurements'!G16="","",'Measurements'!G16)</x:f>
      </x:c>
      <x:c r="H16" s="31" t="str">
        <x:f>IF(COUNT(F16:G16)=2,G16-F16,"")</x:f>
      </x:c>
      <x:c r="I16" s="31" t="str">
        <x:f>IF(H16="","",POWER(10,H16/20))</x:f>
      </x:c>
      <x:c r="J16" s="31" t="n">
        <x:f>'Model'!G7</x:f>
        <x:v>0.27377559877974483</x:v>
      </x:c>
      <x:c r="K16" s="31" t="n">
        <x:f>'Model'!H7</x:f>
        <x:v>0.49894506404442746</x:v>
      </x:c>
      <x:c r="L16" s="31" t="n">
        <x:f>'Model'!I7</x:f>
        <x:v>0.227326912575212</x:v>
      </x:c>
      <x:c r="M16" s="31" t="n">
        <x:f>'Model'!J7</x:f>
        <x:v>1.000047575399384</x:v>
      </x:c>
      <x:c r="N16" s="31" t="str">
        <x:f>IF(I16="","",L16-POWER(I16,2)*M16)</x:f>
      </x:c>
      <x:c r="O16" s="31" t="str">
        <x:f>IF(N16="","",POWER(K16,2)-4*J16*N16)</x:f>
      </x:c>
      <x:c r="P16" s="31" t="str">
        <x:f>IF(O16="","",(-K16+SQRT(O16))/(2*J16))</x:f>
      </x:c>
      <x:c r="Q16" s="31" t="str">
        <x:f>IF(P16="","",20*LOG10(P16))</x:f>
      </x:c>
      <x:c r="R16" s="31" t="str">
        <x:f>IF(Q16="","",-4*(Q16+10))</x:f>
      </x:c>
    </x:row>
    <x:row r="17">
      <x:c r="A17" t="str">
        <x:f>'Measurements'!A17</x:f>
        <x:v>B4_45</x:v>
      </x:c>
      <x:c r="B17" s="27" t="n">
        <x:f>'Measurements'!B17</x:f>
        <x:v>4</x:v>
      </x:c>
      <x:c r="C17" s="27" t="n">
        <x:f>'Measurements'!C17</x:f>
        <x:v>841</x:v>
      </x:c>
      <x:c r="D17" s="32" t="n">
        <x:f>'Measurements'!D17</x:f>
        <x:v>45</x:v>
      </x:c>
      <x:c r="E17" s="32" t="n">
        <x:f>'Measurements'!E17</x:f>
        <x:v>-59.85</x:v>
      </x:c>
      <x:c r="F17" s="32" t="str">
        <x:f>IF('Measurements'!F17="","",'Measurements'!F17)</x:f>
      </x:c>
      <x:c r="G17" s="32" t="str">
        <x:f>IF('Measurements'!G17="","",'Measurements'!G17)</x:f>
      </x:c>
      <x:c r="H17" s="31" t="str">
        <x:f>IF(COUNT(F17:G17)=2,G17-F17,"")</x:f>
      </x:c>
      <x:c r="I17" s="31" t="str">
        <x:f>IF(H17="","",POWER(10,H17/20))</x:f>
      </x:c>
      <x:c r="J17" s="31" t="n">
        <x:f>'Model'!G8</x:f>
        <x:v>0.2709192601939189</x:v>
      </x:c>
      <x:c r="K17" s="31" t="n">
        <x:f>'Model'!H8</x:f>
        <x:v>0.49915596918634997</x:v>
      </x:c>
      <x:c r="L17" s="31" t="n">
        <x:f>'Model'!I8</x:f>
        <x:v>0.22991792047783005</x:v>
      </x:c>
      <x:c r="M17" s="31" t="n">
        <x:f>'Model'!J8</x:f>
        <x:v>0.9999931498580991</x:v>
      </x:c>
      <x:c r="N17" s="31" t="str">
        <x:f>IF(I17="","",L17-POWER(I17,2)*M17)</x:f>
      </x:c>
      <x:c r="O17" s="31" t="str">
        <x:f>IF(N17="","",POWER(K17,2)-4*J17*N17)</x:f>
      </x:c>
      <x:c r="P17" s="31" t="str">
        <x:f>IF(O17="","",(-K17+SQRT(O17))/(2*J17))</x:f>
      </x:c>
      <x:c r="Q17" s="31" t="str">
        <x:f>IF(P17="","",20*LOG10(P17))</x:f>
      </x:c>
      <x:c r="R17" s="31" t="str">
        <x:f>IF(Q17="","",-4*(Q17+10))</x:f>
      </x:c>
    </x:row>
    <x:row r="18">
      <x:c r="A18" t="str">
        <x:f>'Measurements'!A18</x:f>
        <x:v>B4_65</x:v>
      </x:c>
      <x:c r="B18" s="27" t="n">
        <x:f>'Measurements'!B18</x:f>
        <x:v>4</x:v>
      </x:c>
      <x:c r="C18" s="27" t="n">
        <x:f>'Measurements'!C18</x:f>
        <x:v>841</x:v>
      </x:c>
      <x:c r="D18" s="32" t="n">
        <x:f>'Measurements'!D18</x:f>
        <x:v>65</x:v>
      </x:c>
      <x:c r="E18" s="32" t="n">
        <x:f>'Measurements'!E18</x:f>
        <x:v>-39.85</x:v>
      </x:c>
      <x:c r="F18" s="32" t="str">
        <x:f>IF('Measurements'!F18="","",'Measurements'!F18)</x:f>
      </x:c>
      <x:c r="G18" s="32" t="str">
        <x:f>IF('Measurements'!G18="","",'Measurements'!G18)</x:f>
      </x:c>
      <x:c r="H18" s="31" t="str">
        <x:f>IF(COUNT(F18:G18)=2,G18-F18,"")</x:f>
      </x:c>
      <x:c r="I18" s="31" t="str">
        <x:f>IF(H18="","",POWER(10,H18/20))</x:f>
      </x:c>
      <x:c r="J18" s="31" t="n">
        <x:f>'Model'!G8</x:f>
        <x:v>0.2709192601939189</x:v>
      </x:c>
      <x:c r="K18" s="31" t="n">
        <x:f>'Model'!H8</x:f>
        <x:v>0.49915596918634997</x:v>
      </x:c>
      <x:c r="L18" s="31" t="n">
        <x:f>'Model'!I8</x:f>
        <x:v>0.22991792047783005</x:v>
      </x:c>
      <x:c r="M18" s="31" t="n">
        <x:f>'Model'!J8</x:f>
        <x:v>0.9999931498580991</x:v>
      </x:c>
      <x:c r="N18" s="31" t="str">
        <x:f>IF(I18="","",L18-POWER(I18,2)*M18)</x:f>
      </x:c>
      <x:c r="O18" s="31" t="str">
        <x:f>IF(N18="","",POWER(K18,2)-4*J18*N18)</x:f>
      </x:c>
      <x:c r="P18" s="31" t="str">
        <x:f>IF(O18="","",(-K18+SQRT(O18))/(2*J18))</x:f>
      </x:c>
      <x:c r="Q18" s="31" t="str">
        <x:f>IF(P18="","",20*LOG10(P18))</x:f>
      </x:c>
      <x:c r="R18" s="31" t="str">
        <x:f>IF(Q18="","",-4*(Q18+10))</x:f>
      </x:c>
    </x:row>
    <x:row r="19">
      <x:c r="A19" t="str">
        <x:f>'Measurements'!A19</x:f>
        <x:v>B4_85</x:v>
      </x:c>
      <x:c r="B19" s="27" t="n">
        <x:f>'Measurements'!B19</x:f>
        <x:v>4</x:v>
      </x:c>
      <x:c r="C19" s="27" t="n">
        <x:f>'Measurements'!C19</x:f>
        <x:v>841</x:v>
      </x:c>
      <x:c r="D19" s="32" t="n">
        <x:f>'Measurements'!D19</x:f>
        <x:v>85</x:v>
      </x:c>
      <x:c r="E19" s="32" t="n">
        <x:f>'Measurements'!E19</x:f>
        <x:v>-19.85</x:v>
      </x:c>
      <x:c r="F19" s="32" t="str">
        <x:f>IF('Measurements'!F19="","",'Measurements'!F19)</x:f>
      </x:c>
      <x:c r="G19" s="32" t="str">
        <x:f>IF('Measurements'!G19="","",'Measurements'!G19)</x:f>
      </x:c>
      <x:c r="H19" s="31" t="str">
        <x:f>IF(COUNT(F19:G19)=2,G19-F19,"")</x:f>
      </x:c>
      <x:c r="I19" s="31" t="str">
        <x:f>IF(H19="","",POWER(10,H19/20))</x:f>
      </x:c>
      <x:c r="J19" s="31" t="n">
        <x:f>'Model'!G8</x:f>
        <x:v>0.2709192601939189</x:v>
      </x:c>
      <x:c r="K19" s="31" t="n">
        <x:f>'Model'!H8</x:f>
        <x:v>0.49915596918634997</x:v>
      </x:c>
      <x:c r="L19" s="31" t="n">
        <x:f>'Model'!I8</x:f>
        <x:v>0.22991792047783005</x:v>
      </x:c>
      <x:c r="M19" s="31" t="n">
        <x:f>'Model'!J8</x:f>
        <x:v>0.9999931498580991</x:v>
      </x:c>
      <x:c r="N19" s="31" t="str">
        <x:f>IF(I19="","",L19-POWER(I19,2)*M19)</x:f>
      </x:c>
      <x:c r="O19" s="31" t="str">
        <x:f>IF(N19="","",POWER(K19,2)-4*J19*N19)</x:f>
      </x:c>
      <x:c r="P19" s="31" t="str">
        <x:f>IF(O19="","",(-K19+SQRT(O19))/(2*J19))</x:f>
      </x:c>
      <x:c r="Q19" s="31" t="str">
        <x:f>IF(P19="","",20*LOG10(P19))</x:f>
      </x:c>
      <x:c r="R19" s="31" t="str">
        <x:f>IF(Q19="","",-4*(Q19+10))</x:f>
      </x:c>
    </x:row>
    <x:row r="20">
      <x:c r="A20" t="str">
        <x:f>'Measurements'!A20</x:f>
        <x:v>B4_95</x:v>
      </x:c>
      <x:c r="B20" s="27" t="n">
        <x:f>'Measurements'!B20</x:f>
        <x:v>4</x:v>
      </x:c>
      <x:c r="C20" s="27" t="n">
        <x:f>'Measurements'!C20</x:f>
        <x:v>841</x:v>
      </x:c>
      <x:c r="D20" s="32" t="n">
        <x:f>'Measurements'!D20</x:f>
        <x:v>95</x:v>
      </x:c>
      <x:c r="E20" s="32" t="n">
        <x:f>'Measurements'!E20</x:f>
        <x:v>-9.85</x:v>
      </x:c>
      <x:c r="F20" s="32" t="str">
        <x:f>IF('Measurements'!F20="","",'Measurements'!F20)</x:f>
      </x:c>
      <x:c r="G20" s="32" t="str">
        <x:f>IF('Measurements'!G20="","",'Measurements'!G20)</x:f>
      </x:c>
      <x:c r="H20" s="31" t="str">
        <x:f>IF(COUNT(F20:G20)=2,G20-F20,"")</x:f>
      </x:c>
      <x:c r="I20" s="31" t="str">
        <x:f>IF(H20="","",POWER(10,H20/20))</x:f>
      </x:c>
      <x:c r="J20" s="31" t="n">
        <x:f>'Model'!G8</x:f>
        <x:v>0.2709192601939189</x:v>
      </x:c>
      <x:c r="K20" s="31" t="n">
        <x:f>'Model'!H8</x:f>
        <x:v>0.49915596918634997</x:v>
      </x:c>
      <x:c r="L20" s="31" t="n">
        <x:f>'Model'!I8</x:f>
        <x:v>0.22991792047783005</x:v>
      </x:c>
      <x:c r="M20" s="31" t="n">
        <x:f>'Model'!J8</x:f>
        <x:v>0.9999931498580991</x:v>
      </x:c>
      <x:c r="N20" s="31" t="str">
        <x:f>IF(I20="","",L20-POWER(I20,2)*M20)</x:f>
      </x:c>
      <x:c r="O20" s="31" t="str">
        <x:f>IF(N20="","",POWER(K20,2)-4*J20*N20)</x:f>
      </x:c>
      <x:c r="P20" s="31" t="str">
        <x:f>IF(O20="","",(-K20+SQRT(O20))/(2*J20))</x:f>
      </x:c>
      <x:c r="Q20" s="31" t="str">
        <x:f>IF(P20="","",20*LOG10(P20))</x:f>
      </x:c>
      <x:c r="R20" s="31" t="str">
        <x:f>IF(Q20="","",-4*(Q20+10))</x:f>
      </x:c>
    </x:row>
    <x:row r="21">
      <x:c r="A21" t="str">
        <x:f>'Measurements'!A21</x:f>
        <x:v>B5_45</x:v>
      </x:c>
      <x:c r="B21" s="27" t="n">
        <x:f>'Measurements'!B21</x:f>
        <x:v>5</x:v>
      </x:c>
      <x:c r="C21" s="27" t="n">
        <x:f>'Measurements'!C21</x:f>
        <x:v>1414</x:v>
      </x:c>
      <x:c r="D21" s="32" t="n">
        <x:f>'Measurements'!D21</x:f>
        <x:v>45</x:v>
      </x:c>
      <x:c r="E21" s="32" t="n">
        <x:f>'Measurements'!E21</x:f>
        <x:v>-59.85</x:v>
      </x:c>
      <x:c r="F21" s="32" t="str">
        <x:f>IF('Measurements'!F21="","",'Measurements'!F21)</x:f>
      </x:c>
      <x:c r="G21" s="32" t="str">
        <x:f>IF('Measurements'!G21="","",'Measurements'!G21)</x:f>
      </x:c>
      <x:c r="H21" s="31" t="str">
        <x:f>IF(COUNT(F21:G21)=2,G21-F21,"")</x:f>
      </x:c>
      <x:c r="I21" s="31" t="str">
        <x:f>IF(H21="","",POWER(10,H21/20))</x:f>
      </x:c>
      <x:c r="J21" s="31" t="n">
        <x:f>'Model'!G9</x:f>
        <x:v>0.2717597478109708</x:v>
      </x:c>
      <x:c r="K21" s="31" t="n">
        <x:f>'Model'!H9</x:f>
        <x:v>0.49908147620358534</x:v>
      </x:c>
      <x:c r="L21" s="31" t="n">
        <x:f>'Model'!I9</x:f>
        <x:v>0.22913842994150074</x:v>
      </x:c>
      <x:c r="M21" s="31" t="n">
        <x:f>'Model'!J9</x:f>
        <x:v>0.999979653956057</x:v>
      </x:c>
      <x:c r="N21" s="31" t="str">
        <x:f>IF(I21="","",L21-POWER(I21,2)*M21)</x:f>
      </x:c>
      <x:c r="O21" s="31" t="str">
        <x:f>IF(N21="","",POWER(K21,2)-4*J21*N21)</x:f>
      </x:c>
      <x:c r="P21" s="31" t="str">
        <x:f>IF(O21="","",(-K21+SQRT(O21))/(2*J21))</x:f>
      </x:c>
      <x:c r="Q21" s="31" t="str">
        <x:f>IF(P21="","",20*LOG10(P21))</x:f>
      </x:c>
      <x:c r="R21" s="31" t="str">
        <x:f>IF(Q21="","",-4*(Q21+10))</x:f>
      </x:c>
    </x:row>
    <x:row r="22">
      <x:c r="A22" t="str">
        <x:f>'Measurements'!A22</x:f>
        <x:v>B5_65</x:v>
      </x:c>
      <x:c r="B22" s="27" t="n">
        <x:f>'Measurements'!B22</x:f>
        <x:v>5</x:v>
      </x:c>
      <x:c r="C22" s="27" t="n">
        <x:f>'Measurements'!C22</x:f>
        <x:v>1414</x:v>
      </x:c>
      <x:c r="D22" s="32" t="n">
        <x:f>'Measurements'!D22</x:f>
        <x:v>65</x:v>
      </x:c>
      <x:c r="E22" s="32" t="n">
        <x:f>'Measurements'!E22</x:f>
        <x:v>-39.85</x:v>
      </x:c>
      <x:c r="F22" s="32" t="str">
        <x:f>IF('Measurements'!F22="","",'Measurements'!F22)</x:f>
      </x:c>
      <x:c r="G22" s="32" t="str">
        <x:f>IF('Measurements'!G22="","",'Measurements'!G22)</x:f>
      </x:c>
      <x:c r="H22" s="31" t="str">
        <x:f>IF(COUNT(F22:G22)=2,G22-F22,"")</x:f>
      </x:c>
      <x:c r="I22" s="31" t="str">
        <x:f>IF(H22="","",POWER(10,H22/20))</x:f>
      </x:c>
      <x:c r="J22" s="31" t="n">
        <x:f>'Model'!G9</x:f>
        <x:v>0.2717597478109708</x:v>
      </x:c>
      <x:c r="K22" s="31" t="n">
        <x:f>'Model'!H9</x:f>
        <x:v>0.49908147620358534</x:v>
      </x:c>
      <x:c r="L22" s="31" t="n">
        <x:f>'Model'!I9</x:f>
        <x:v>0.22913842994150074</x:v>
      </x:c>
      <x:c r="M22" s="31" t="n">
        <x:f>'Model'!J9</x:f>
        <x:v>0.999979653956057</x:v>
      </x:c>
      <x:c r="N22" s="31" t="str">
        <x:f>IF(I22="","",L22-POWER(I22,2)*M22)</x:f>
      </x:c>
      <x:c r="O22" s="31" t="str">
        <x:f>IF(N22="","",POWER(K22,2)-4*J22*N22)</x:f>
      </x:c>
      <x:c r="P22" s="31" t="str">
        <x:f>IF(O22="","",(-K22+SQRT(O22))/(2*J22))</x:f>
      </x:c>
      <x:c r="Q22" s="31" t="str">
        <x:f>IF(P22="","",20*LOG10(P22))</x:f>
      </x:c>
      <x:c r="R22" s="31" t="str">
        <x:f>IF(Q22="","",-4*(Q22+10))</x:f>
      </x:c>
    </x:row>
    <x:row r="23">
      <x:c r="A23" t="str">
        <x:f>'Measurements'!A23</x:f>
        <x:v>B5_85</x:v>
      </x:c>
      <x:c r="B23" s="27" t="n">
        <x:f>'Measurements'!B23</x:f>
        <x:v>5</x:v>
      </x:c>
      <x:c r="C23" s="27" t="n">
        <x:f>'Measurements'!C23</x:f>
        <x:v>1414</x:v>
      </x:c>
      <x:c r="D23" s="32" t="n">
        <x:f>'Measurements'!D23</x:f>
        <x:v>85</x:v>
      </x:c>
      <x:c r="E23" s="32" t="n">
        <x:f>'Measurements'!E23</x:f>
        <x:v>-19.85</x:v>
      </x:c>
      <x:c r="F23" s="32" t="str">
        <x:f>IF('Measurements'!F23="","",'Measurements'!F23)</x:f>
      </x:c>
      <x:c r="G23" s="32" t="str">
        <x:f>IF('Measurements'!G23="","",'Measurements'!G23)</x:f>
      </x:c>
      <x:c r="H23" s="31" t="str">
        <x:f>IF(COUNT(F23:G23)=2,G23-F23,"")</x:f>
      </x:c>
      <x:c r="I23" s="31" t="str">
        <x:f>IF(H23="","",POWER(10,H23/20))</x:f>
      </x:c>
      <x:c r="J23" s="31" t="n">
        <x:f>'Model'!G9</x:f>
        <x:v>0.2717597478109708</x:v>
      </x:c>
      <x:c r="K23" s="31" t="n">
        <x:f>'Model'!H9</x:f>
        <x:v>0.49908147620358534</x:v>
      </x:c>
      <x:c r="L23" s="31" t="n">
        <x:f>'Model'!I9</x:f>
        <x:v>0.22913842994150074</x:v>
      </x:c>
      <x:c r="M23" s="31" t="n">
        <x:f>'Model'!J9</x:f>
        <x:v>0.999979653956057</x:v>
      </x:c>
      <x:c r="N23" s="31" t="str">
        <x:f>IF(I23="","",L23-POWER(I23,2)*M23)</x:f>
      </x:c>
      <x:c r="O23" s="31" t="str">
        <x:f>IF(N23="","",POWER(K23,2)-4*J23*N23)</x:f>
      </x:c>
      <x:c r="P23" s="31" t="str">
        <x:f>IF(O23="","",(-K23+SQRT(O23))/(2*J23))</x:f>
      </x:c>
      <x:c r="Q23" s="31" t="str">
        <x:f>IF(P23="","",20*LOG10(P23))</x:f>
      </x:c>
      <x:c r="R23" s="31" t="str">
        <x:f>IF(Q23="","",-4*(Q23+10))</x:f>
      </x:c>
    </x:row>
    <x:row r="24">
      <x:c r="A24" t="str">
        <x:f>'Measurements'!A24</x:f>
        <x:v>B5_95</x:v>
      </x:c>
      <x:c r="B24" s="27" t="n">
        <x:f>'Measurements'!B24</x:f>
        <x:v>5</x:v>
      </x:c>
      <x:c r="C24" s="27" t="n">
        <x:f>'Measurements'!C24</x:f>
        <x:v>1414</x:v>
      </x:c>
      <x:c r="D24" s="32" t="n">
        <x:f>'Measurements'!D24</x:f>
        <x:v>95</x:v>
      </x:c>
      <x:c r="E24" s="32" t="n">
        <x:f>'Measurements'!E24</x:f>
        <x:v>-9.85</x:v>
      </x:c>
      <x:c r="F24" s="32" t="str">
        <x:f>IF('Measurements'!F24="","",'Measurements'!F24)</x:f>
      </x:c>
      <x:c r="G24" s="32" t="str">
        <x:f>IF('Measurements'!G24="","",'Measurements'!G24)</x:f>
      </x:c>
      <x:c r="H24" s="31" t="str">
        <x:f>IF(COUNT(F24:G24)=2,G24-F24,"")</x:f>
      </x:c>
      <x:c r="I24" s="31" t="str">
        <x:f>IF(H24="","",POWER(10,H24/20))</x:f>
      </x:c>
      <x:c r="J24" s="31" t="n">
        <x:f>'Model'!G9</x:f>
        <x:v>0.2717597478109708</x:v>
      </x:c>
      <x:c r="K24" s="31" t="n">
        <x:f>'Model'!H9</x:f>
        <x:v>0.49908147620358534</x:v>
      </x:c>
      <x:c r="L24" s="31" t="n">
        <x:f>'Model'!I9</x:f>
        <x:v>0.22913842994150074</x:v>
      </x:c>
      <x:c r="M24" s="31" t="n">
        <x:f>'Model'!J9</x:f>
        <x:v>0.999979653956057</x:v>
      </x:c>
      <x:c r="N24" s="31" t="str">
        <x:f>IF(I24="","",L24-POWER(I24,2)*M24)</x:f>
      </x:c>
      <x:c r="O24" s="31" t="str">
        <x:f>IF(N24="","",POWER(K24,2)-4*J24*N24)</x:f>
      </x:c>
      <x:c r="P24" s="31" t="str">
        <x:f>IF(O24="","",(-K24+SQRT(O24))/(2*J24))</x:f>
      </x:c>
      <x:c r="Q24" s="31" t="str">
        <x:f>IF(P24="","",20*LOG10(P24))</x:f>
      </x:c>
      <x:c r="R24" s="31" t="str">
        <x:f>IF(Q24="","",-4*(Q24+10))</x:f>
      </x:c>
    </x:row>
    <x:row r="25">
      <x:c r="A25" t="str">
        <x:f>'Measurements'!A25</x:f>
        <x:v>B6_45</x:v>
      </x:c>
      <x:c r="B25" s="27" t="n">
        <x:f>'Measurements'!B25</x:f>
        <x:v>6</x:v>
      </x:c>
      <x:c r="C25" s="27" t="n">
        <x:f>'Measurements'!C25</x:f>
        <x:v>2378</x:v>
      </x:c>
      <x:c r="D25" s="32" t="n">
        <x:f>'Measurements'!D25</x:f>
        <x:v>45</x:v>
      </x:c>
      <x:c r="E25" s="32" t="n">
        <x:f>'Measurements'!E25</x:f>
        <x:v>-59.85</x:v>
      </x:c>
      <x:c r="F25" s="32" t="str">
        <x:f>IF('Measurements'!F25="","",'Measurements'!F25)</x:f>
      </x:c>
      <x:c r="G25" s="32" t="str">
        <x:f>IF('Measurements'!G25="","",'Measurements'!G25)</x:f>
      </x:c>
      <x:c r="H25" s="31" t="str">
        <x:f>IF(COUNT(F25:G25)=2,G25-F25,"")</x:f>
      </x:c>
      <x:c r="I25" s="31" t="str">
        <x:f>IF(H25="","",POWER(10,H25/20))</x:f>
      </x:c>
      <x:c r="J25" s="31" t="n">
        <x:f>'Model'!G10</x:f>
        <x:v>0.2755768630693762</x:v>
      </x:c>
      <x:c r="K25" s="31" t="n">
        <x:f>'Model'!H10</x:f>
        <x:v>0.4987381757187077</x:v>
      </x:c>
      <x:c r="L25" s="31" t="n">
        <x:f>'Model'!I10</x:f>
        <x:v>0.2256537703029297</x:v>
      </x:c>
      <x:c r="M25" s="31" t="n">
        <x:f>'Model'!J10</x:f>
        <x:v>0.9999688090910138</x:v>
      </x:c>
      <x:c r="N25" s="31" t="str">
        <x:f>IF(I25="","",L25-POWER(I25,2)*M25)</x:f>
      </x:c>
      <x:c r="O25" s="31" t="str">
        <x:f>IF(N25="","",POWER(K25,2)-4*J25*N25)</x:f>
      </x:c>
      <x:c r="P25" s="31" t="str">
        <x:f>IF(O25="","",(-K25+SQRT(O25))/(2*J25))</x:f>
      </x:c>
      <x:c r="Q25" s="31" t="str">
        <x:f>IF(P25="","",20*LOG10(P25))</x:f>
      </x:c>
      <x:c r="R25" s="31" t="str">
        <x:f>IF(Q25="","",-4*(Q25+10))</x:f>
      </x:c>
    </x:row>
    <x:row r="26">
      <x:c r="A26" t="str">
        <x:f>'Measurements'!A26</x:f>
        <x:v>B6_65</x:v>
      </x:c>
      <x:c r="B26" s="27" t="n">
        <x:f>'Measurements'!B26</x:f>
        <x:v>6</x:v>
      </x:c>
      <x:c r="C26" s="27" t="n">
        <x:f>'Measurements'!C26</x:f>
        <x:v>2378</x:v>
      </x:c>
      <x:c r="D26" s="32" t="n">
        <x:f>'Measurements'!D26</x:f>
        <x:v>65</x:v>
      </x:c>
      <x:c r="E26" s="32" t="n">
        <x:f>'Measurements'!E26</x:f>
        <x:v>-39.85</x:v>
      </x:c>
      <x:c r="F26" s="32" t="str">
        <x:f>IF('Measurements'!F26="","",'Measurements'!F26)</x:f>
      </x:c>
      <x:c r="G26" s="32" t="str">
        <x:f>IF('Measurements'!G26="","",'Measurements'!G26)</x:f>
      </x:c>
      <x:c r="H26" s="31" t="str">
        <x:f>IF(COUNT(F26:G26)=2,G26-F26,"")</x:f>
      </x:c>
      <x:c r="I26" s="31" t="str">
        <x:f>IF(H26="","",POWER(10,H26/20))</x:f>
      </x:c>
      <x:c r="J26" s="31" t="n">
        <x:f>'Model'!G10</x:f>
        <x:v>0.2755768630693762</x:v>
      </x:c>
      <x:c r="K26" s="31" t="n">
        <x:f>'Model'!H10</x:f>
        <x:v>0.4987381757187077</x:v>
      </x:c>
      <x:c r="L26" s="31" t="n">
        <x:f>'Model'!I10</x:f>
        <x:v>0.2256537703029297</x:v>
      </x:c>
      <x:c r="M26" s="31" t="n">
        <x:f>'Model'!J10</x:f>
        <x:v>0.9999688090910138</x:v>
      </x:c>
      <x:c r="N26" s="31" t="str">
        <x:f>IF(I26="","",L26-POWER(I26,2)*M26)</x:f>
      </x:c>
      <x:c r="O26" s="31" t="str">
        <x:f>IF(N26="","",POWER(K26,2)-4*J26*N26)</x:f>
      </x:c>
      <x:c r="P26" s="31" t="str">
        <x:f>IF(O26="","",(-K26+SQRT(O26))/(2*J26))</x:f>
      </x:c>
      <x:c r="Q26" s="31" t="str">
        <x:f>IF(P26="","",20*LOG10(P26))</x:f>
      </x:c>
      <x:c r="R26" s="31" t="str">
        <x:f>IF(Q26="","",-4*(Q26+10))</x:f>
      </x:c>
    </x:row>
    <x:row r="27">
      <x:c r="A27" t="str">
        <x:f>'Measurements'!A27</x:f>
        <x:v>B6_85</x:v>
      </x:c>
      <x:c r="B27" s="27" t="n">
        <x:f>'Measurements'!B27</x:f>
        <x:v>6</x:v>
      </x:c>
      <x:c r="C27" s="27" t="n">
        <x:f>'Measurements'!C27</x:f>
        <x:v>2378</x:v>
      </x:c>
      <x:c r="D27" s="32" t="n">
        <x:f>'Measurements'!D27</x:f>
        <x:v>85</x:v>
      </x:c>
      <x:c r="E27" s="32" t="n">
        <x:f>'Measurements'!E27</x:f>
        <x:v>-19.85</x:v>
      </x:c>
      <x:c r="F27" s="32" t="str">
        <x:f>IF('Measurements'!F27="","",'Measurements'!F27)</x:f>
      </x:c>
      <x:c r="G27" s="32" t="str">
        <x:f>IF('Measurements'!G27="","",'Measurements'!G27)</x:f>
      </x:c>
      <x:c r="H27" s="31" t="str">
        <x:f>IF(COUNT(F27:G27)=2,G27-F27,"")</x:f>
      </x:c>
      <x:c r="I27" s="31" t="str">
        <x:f>IF(H27="","",POWER(10,H27/20))</x:f>
      </x:c>
      <x:c r="J27" s="31" t="n">
        <x:f>'Model'!G10</x:f>
        <x:v>0.2755768630693762</x:v>
      </x:c>
      <x:c r="K27" s="31" t="n">
        <x:f>'Model'!H10</x:f>
        <x:v>0.4987381757187077</x:v>
      </x:c>
      <x:c r="L27" s="31" t="n">
        <x:f>'Model'!I10</x:f>
        <x:v>0.2256537703029297</x:v>
      </x:c>
      <x:c r="M27" s="31" t="n">
        <x:f>'Model'!J10</x:f>
        <x:v>0.9999688090910138</x:v>
      </x:c>
      <x:c r="N27" s="31" t="str">
        <x:f>IF(I27="","",L27-POWER(I27,2)*M27)</x:f>
      </x:c>
      <x:c r="O27" s="31" t="str">
        <x:f>IF(N27="","",POWER(K27,2)-4*J27*N27)</x:f>
      </x:c>
      <x:c r="P27" s="31" t="str">
        <x:f>IF(O27="","",(-K27+SQRT(O27))/(2*J27))</x:f>
      </x:c>
      <x:c r="Q27" s="31" t="str">
        <x:f>IF(P27="","",20*LOG10(P27))</x:f>
      </x:c>
      <x:c r="R27" s="31" t="str">
        <x:f>IF(Q27="","",-4*(Q27+10))</x:f>
      </x:c>
    </x:row>
    <x:row r="28">
      <x:c r="A28" t="str">
        <x:f>'Measurements'!A28</x:f>
        <x:v>B6_95</x:v>
      </x:c>
      <x:c r="B28" s="27" t="n">
        <x:f>'Measurements'!B28</x:f>
        <x:v>6</x:v>
      </x:c>
      <x:c r="C28" s="27" t="n">
        <x:f>'Measurements'!C28</x:f>
        <x:v>2378</x:v>
      </x:c>
      <x:c r="D28" s="32" t="n">
        <x:f>'Measurements'!D28</x:f>
        <x:v>95</x:v>
      </x:c>
      <x:c r="E28" s="32" t="n">
        <x:f>'Measurements'!E28</x:f>
        <x:v>-9.85</x:v>
      </x:c>
      <x:c r="F28" s="32" t="str">
        <x:f>IF('Measurements'!F28="","",'Measurements'!F28)</x:f>
      </x:c>
      <x:c r="G28" s="32" t="str">
        <x:f>IF('Measurements'!G28="","",'Measurements'!G28)</x:f>
      </x:c>
      <x:c r="H28" s="31" t="str">
        <x:f>IF(COUNT(F28:G28)=2,G28-F28,"")</x:f>
      </x:c>
      <x:c r="I28" s="31" t="str">
        <x:f>IF(H28="","",POWER(10,H28/20))</x:f>
      </x:c>
      <x:c r="J28" s="31" t="n">
        <x:f>'Model'!G10</x:f>
        <x:v>0.2755768630693762</x:v>
      </x:c>
      <x:c r="K28" s="31" t="n">
        <x:f>'Model'!H10</x:f>
        <x:v>0.4987381757187077</x:v>
      </x:c>
      <x:c r="L28" s="31" t="n">
        <x:f>'Model'!I10</x:f>
        <x:v>0.2256537703029297</x:v>
      </x:c>
      <x:c r="M28" s="31" t="n">
        <x:f>'Model'!J10</x:f>
        <x:v>0.9999688090910138</x:v>
      </x:c>
      <x:c r="N28" s="31" t="str">
        <x:f>IF(I28="","",L28-POWER(I28,2)*M28)</x:f>
      </x:c>
      <x:c r="O28" s="31" t="str">
        <x:f>IF(N28="","",POWER(K28,2)-4*J28*N28)</x:f>
      </x:c>
      <x:c r="P28" s="31" t="str">
        <x:f>IF(O28="","",(-K28+SQRT(O28))/(2*J28))</x:f>
      </x:c>
      <x:c r="Q28" s="31" t="str">
        <x:f>IF(P28="","",20*LOG10(P28))</x:f>
      </x:c>
      <x:c r="R28" s="31" t="str">
        <x:f>IF(Q28="","",-4*(Q28+10))</x:f>
      </x:c>
    </x:row>
    <x:row r="29">
      <x:c r="A29" t="str">
        <x:f>'Measurements'!A29</x:f>
        <x:v>B7_45</x:v>
      </x:c>
      <x:c r="B29" s="27" t="n">
        <x:f>'Measurements'!B29</x:f>
        <x:v>7</x:v>
      </x:c>
      <x:c r="C29" s="27" t="n">
        <x:f>'Measurements'!C29</x:f>
        <x:v>4000</x:v>
      </x:c>
      <x:c r="D29" s="32" t="n">
        <x:f>'Measurements'!D29</x:f>
        <x:v>45</x:v>
      </x:c>
      <x:c r="E29" s="32" t="n">
        <x:f>'Measurements'!E29</x:f>
        <x:v>-59.85</x:v>
      </x:c>
      <x:c r="F29" s="32" t="str">
        <x:f>IF('Measurements'!F29="","",'Measurements'!F29)</x:f>
      </x:c>
      <x:c r="G29" s="32" t="str">
        <x:f>IF('Measurements'!G29="","",'Measurements'!G29)</x:f>
      </x:c>
      <x:c r="H29" s="31" t="str">
        <x:f>IF(COUNT(F29:G29)=2,G29-F29,"")</x:f>
      </x:c>
      <x:c r="I29" s="31" t="str">
        <x:f>IF(H29="","",POWER(10,H29/20))</x:f>
      </x:c>
      <x:c r="J29" s="31" t="n">
        <x:f>'Model'!G11</x:f>
        <x:v>0.2865033308720583</x:v>
      </x:c>
      <x:c r="K29" s="31" t="n">
        <x:f>'Model'!H11</x:f>
        <x:v>0.49749751720418234</x:v>
      </x:c>
      <x:c r="L29" s="31" t="n">
        <x:f>'Model'!I11</x:f>
        <x:v>0.2159693807346456</x:v>
      </x:c>
      <x:c r="M29" s="31" t="n">
        <x:f>'Model'!J11</x:f>
        <x:v>0.9999702288108862</x:v>
      </x:c>
      <x:c r="N29" s="31" t="str">
        <x:f>IF(I29="","",L29-POWER(I29,2)*M29)</x:f>
      </x:c>
      <x:c r="O29" s="31" t="str">
        <x:f>IF(N29="","",POWER(K29,2)-4*J29*N29)</x:f>
      </x:c>
      <x:c r="P29" s="31" t="str">
        <x:f>IF(O29="","",(-K29+SQRT(O29))/(2*J29))</x:f>
      </x:c>
      <x:c r="Q29" s="31" t="str">
        <x:f>IF(P29="","",20*LOG10(P29))</x:f>
      </x:c>
      <x:c r="R29" s="31" t="str">
        <x:f>IF(Q29="","",-4*(Q29+10))</x:f>
      </x:c>
    </x:row>
    <x:row r="30">
      <x:c r="A30" t="str">
        <x:f>'Measurements'!A30</x:f>
        <x:v>B7_65</x:v>
      </x:c>
      <x:c r="B30" s="27" t="n">
        <x:f>'Measurements'!B30</x:f>
        <x:v>7</x:v>
      </x:c>
      <x:c r="C30" s="27" t="n">
        <x:f>'Measurements'!C30</x:f>
        <x:v>4000</x:v>
      </x:c>
      <x:c r="D30" s="32" t="n">
        <x:f>'Measurements'!D30</x:f>
        <x:v>65</x:v>
      </x:c>
      <x:c r="E30" s="32" t="n">
        <x:f>'Measurements'!E30</x:f>
        <x:v>-39.85</x:v>
      </x:c>
      <x:c r="F30" s="32" t="str">
        <x:f>IF('Measurements'!F30="","",'Measurements'!F30)</x:f>
      </x:c>
      <x:c r="G30" s="32" t="str">
        <x:f>IF('Measurements'!G30="","",'Measurements'!G30)</x:f>
      </x:c>
      <x:c r="H30" s="31" t="str">
        <x:f>IF(COUNT(F30:G30)=2,G30-F30,"")</x:f>
      </x:c>
      <x:c r="I30" s="31" t="str">
        <x:f>IF(H30="","",POWER(10,H30/20))</x:f>
      </x:c>
      <x:c r="J30" s="31" t="n">
        <x:f>'Model'!G11</x:f>
        <x:v>0.2865033308720583</x:v>
      </x:c>
      <x:c r="K30" s="31" t="n">
        <x:f>'Model'!H11</x:f>
        <x:v>0.49749751720418234</x:v>
      </x:c>
      <x:c r="L30" s="31" t="n">
        <x:f>'Model'!I11</x:f>
        <x:v>0.2159693807346456</x:v>
      </x:c>
      <x:c r="M30" s="31" t="n">
        <x:f>'Model'!J11</x:f>
        <x:v>0.9999702288108862</x:v>
      </x:c>
      <x:c r="N30" s="31" t="str">
        <x:f>IF(I30="","",L30-POWER(I30,2)*M30)</x:f>
      </x:c>
      <x:c r="O30" s="31" t="str">
        <x:f>IF(N30="","",POWER(K30,2)-4*J30*N30)</x:f>
      </x:c>
      <x:c r="P30" s="31" t="str">
        <x:f>IF(O30="","",(-K30+SQRT(O30))/(2*J30))</x:f>
      </x:c>
      <x:c r="Q30" s="31" t="str">
        <x:f>IF(P30="","",20*LOG10(P30))</x:f>
      </x:c>
      <x:c r="R30" s="31" t="str">
        <x:f>IF(Q30="","",-4*(Q30+10))</x:f>
      </x:c>
    </x:row>
    <x:row r="31">
      <x:c r="A31" t="str">
        <x:f>'Measurements'!A31</x:f>
        <x:v>B7_85</x:v>
      </x:c>
      <x:c r="B31" s="27" t="n">
        <x:f>'Measurements'!B31</x:f>
        <x:v>7</x:v>
      </x:c>
      <x:c r="C31" s="27" t="n">
        <x:f>'Measurements'!C31</x:f>
        <x:v>4000</x:v>
      </x:c>
      <x:c r="D31" s="32" t="n">
        <x:f>'Measurements'!D31</x:f>
        <x:v>85</x:v>
      </x:c>
      <x:c r="E31" s="32" t="n">
        <x:f>'Measurements'!E31</x:f>
        <x:v>-19.85</x:v>
      </x:c>
      <x:c r="F31" s="32" t="str">
        <x:f>IF('Measurements'!F31="","",'Measurements'!F31)</x:f>
      </x:c>
      <x:c r="G31" s="32" t="str">
        <x:f>IF('Measurements'!G31="","",'Measurements'!G31)</x:f>
      </x:c>
      <x:c r="H31" s="31" t="str">
        <x:f>IF(COUNT(F31:G31)=2,G31-F31,"")</x:f>
      </x:c>
      <x:c r="I31" s="31" t="str">
        <x:f>IF(H31="","",POWER(10,H31/20))</x:f>
      </x:c>
      <x:c r="J31" s="31" t="n">
        <x:f>'Model'!G11</x:f>
        <x:v>0.2865033308720583</x:v>
      </x:c>
      <x:c r="K31" s="31" t="n">
        <x:f>'Model'!H11</x:f>
        <x:v>0.49749751720418234</x:v>
      </x:c>
      <x:c r="L31" s="31" t="n">
        <x:f>'Model'!I11</x:f>
        <x:v>0.2159693807346456</x:v>
      </x:c>
      <x:c r="M31" s="31" t="n">
        <x:f>'Model'!J11</x:f>
        <x:v>0.9999702288108862</x:v>
      </x:c>
      <x:c r="N31" s="31" t="str">
        <x:f>IF(I31="","",L31-POWER(I31,2)*M31)</x:f>
      </x:c>
      <x:c r="O31" s="31" t="str">
        <x:f>IF(N31="","",POWER(K31,2)-4*J31*N31)</x:f>
      </x:c>
      <x:c r="P31" s="31" t="str">
        <x:f>IF(O31="","",(-K31+SQRT(O31))/(2*J31))</x:f>
      </x:c>
      <x:c r="Q31" s="31" t="str">
        <x:f>IF(P31="","",20*LOG10(P31))</x:f>
      </x:c>
      <x:c r="R31" s="31" t="str">
        <x:f>IF(Q31="","",-4*(Q31+10))</x:f>
      </x:c>
    </x:row>
    <x:row r="32">
      <x:c r="A32" t="str">
        <x:f>'Measurements'!A32</x:f>
        <x:v>B7_95</x:v>
      </x:c>
      <x:c r="B32" s="27" t="n">
        <x:f>'Measurements'!B32</x:f>
        <x:v>7</x:v>
      </x:c>
      <x:c r="C32" s="27" t="n">
        <x:f>'Measurements'!C32</x:f>
        <x:v>4000</x:v>
      </x:c>
      <x:c r="D32" s="32" t="n">
        <x:f>'Measurements'!D32</x:f>
        <x:v>95</x:v>
      </x:c>
      <x:c r="E32" s="32" t="n">
        <x:f>'Measurements'!E32</x:f>
        <x:v>-9.85</x:v>
      </x:c>
      <x:c r="F32" s="32" t="str">
        <x:f>IF('Measurements'!F32="","",'Measurements'!F32)</x:f>
      </x:c>
      <x:c r="G32" s="32" t="str">
        <x:f>IF('Measurements'!G32="","",'Measurements'!G32)</x:f>
      </x:c>
      <x:c r="H32" s="31" t="str">
        <x:f>IF(COUNT(F32:G32)=2,G32-F32,"")</x:f>
      </x:c>
      <x:c r="I32" s="31" t="str">
        <x:f>IF(H32="","",POWER(10,H32/20))</x:f>
      </x:c>
      <x:c r="J32" s="31" t="n">
        <x:f>'Model'!G11</x:f>
        <x:v>0.2865033308720583</x:v>
      </x:c>
      <x:c r="K32" s="31" t="n">
        <x:f>'Model'!H11</x:f>
        <x:v>0.49749751720418234</x:v>
      </x:c>
      <x:c r="L32" s="31" t="n">
        <x:f>'Model'!I11</x:f>
        <x:v>0.2159693807346456</x:v>
      </x:c>
      <x:c r="M32" s="31" t="n">
        <x:f>'Model'!J11</x:f>
        <x:v>0.9999702288108862</x:v>
      </x:c>
      <x:c r="N32" s="31" t="str">
        <x:f>IF(I32="","",L32-POWER(I32,2)*M32)</x:f>
      </x:c>
      <x:c r="O32" s="31" t="str">
        <x:f>IF(N32="","",POWER(K32,2)-4*J32*N32)</x:f>
      </x:c>
      <x:c r="P32" s="31" t="str">
        <x:f>IF(O32="","",(-K32+SQRT(O32))/(2*J32))</x:f>
      </x:c>
      <x:c r="Q32" s="31" t="str">
        <x:f>IF(P32="","",20*LOG10(P32))</x:f>
      </x:c>
      <x:c r="R32" s="31" t="str">
        <x:f>IF(Q32="","",-4*(Q32+10))</x:f>
      </x:c>
    </x:row>
    <x:row r="33">
      <x:c r="A33" t="str">
        <x:f>'Measurements'!A33</x:f>
        <x:v>B8_45</x:v>
      </x:c>
      <x:c r="B33" s="27" t="n">
        <x:f>'Measurements'!B33</x:f>
        <x:v>8</x:v>
      </x:c>
      <x:c r="C33" s="27" t="n">
        <x:f>'Measurements'!C33</x:f>
        <x:v>6727</x:v>
      </x:c>
      <x:c r="D33" s="32" t="n">
        <x:f>'Measurements'!D33</x:f>
        <x:v>45</x:v>
      </x:c>
      <x:c r="E33" s="32" t="n">
        <x:f>'Measurements'!E33</x:f>
        <x:v>-59.85</x:v>
      </x:c>
      <x:c r="F33" s="32" t="str">
        <x:f>IF('Measurements'!F33="","",'Measurements'!F33)</x:f>
      </x:c>
      <x:c r="G33" s="32" t="str">
        <x:f>IF('Measurements'!G33="","",'Measurements'!G33)</x:f>
      </x:c>
      <x:c r="H33" s="31" t="str">
        <x:f>IF(COUNT(F33:G33)=2,G33-F33,"")</x:f>
      </x:c>
      <x:c r="I33" s="31" t="str">
        <x:f>IF(H33="","",POWER(10,H33/20))</x:f>
      </x:c>
      <x:c r="J33" s="31" t="n">
        <x:f>'Model'!G12</x:f>
        <x:v>0.32079630624039196</x:v>
      </x:c>
      <x:c r="K33" s="31" t="n">
        <x:f>'Model'!H12</x:f>
        <x:v>0.49117712808866315</x:v>
      </x:c>
      <x:c r="L33" s="31" t="n">
        <x:f>'Model'!I12</x:f>
        <x:v>0.18801543815591001</x:v>
      </x:c>
      <x:c r="M33" s="31" t="n">
        <x:f>'Model'!J12</x:f>
        <x:v>0.9999888724849652</x:v>
      </x:c>
      <x:c r="N33" s="31" t="str">
        <x:f>IF(I33="","",L33-POWER(I33,2)*M33)</x:f>
      </x:c>
      <x:c r="O33" s="31" t="str">
        <x:f>IF(N33="","",POWER(K33,2)-4*J33*N33)</x:f>
      </x:c>
      <x:c r="P33" s="31" t="str">
        <x:f>IF(O33="","",(-K33+SQRT(O33))/(2*J33))</x:f>
      </x:c>
      <x:c r="Q33" s="31" t="str">
        <x:f>IF(P33="","",20*LOG10(P33))</x:f>
      </x:c>
      <x:c r="R33" s="31" t="str">
        <x:f>IF(Q33="","",-4*(Q33+10))</x:f>
      </x:c>
    </x:row>
    <x:row r="34">
      <x:c r="A34" t="str">
        <x:f>'Measurements'!A34</x:f>
        <x:v>B8_65</x:v>
      </x:c>
      <x:c r="B34" s="27" t="n">
        <x:f>'Measurements'!B34</x:f>
        <x:v>8</x:v>
      </x:c>
      <x:c r="C34" s="27" t="n">
        <x:f>'Measurements'!C34</x:f>
        <x:v>6727</x:v>
      </x:c>
      <x:c r="D34" s="32" t="n">
        <x:f>'Measurements'!D34</x:f>
        <x:v>65</x:v>
      </x:c>
      <x:c r="E34" s="32" t="n">
        <x:f>'Measurements'!E34</x:f>
        <x:v>-39.85</x:v>
      </x:c>
      <x:c r="F34" s="32" t="str">
        <x:f>IF('Measurements'!F34="","",'Measurements'!F34)</x:f>
      </x:c>
      <x:c r="G34" s="32" t="str">
        <x:f>IF('Measurements'!G34="","",'Measurements'!G34)</x:f>
      </x:c>
      <x:c r="H34" s="31" t="str">
        <x:f>IF(COUNT(F34:G34)=2,G34-F34,"")</x:f>
      </x:c>
      <x:c r="I34" s="31" t="str">
        <x:f>IF(H34="","",POWER(10,H34/20))</x:f>
      </x:c>
      <x:c r="J34" s="31" t="n">
        <x:f>'Model'!G12</x:f>
        <x:v>0.32079630624039196</x:v>
      </x:c>
      <x:c r="K34" s="31" t="n">
        <x:f>'Model'!H12</x:f>
        <x:v>0.49117712808866315</x:v>
      </x:c>
      <x:c r="L34" s="31" t="n">
        <x:f>'Model'!I12</x:f>
        <x:v>0.18801543815591001</x:v>
      </x:c>
      <x:c r="M34" s="31" t="n">
        <x:f>'Model'!J12</x:f>
        <x:v>0.9999888724849652</x:v>
      </x:c>
      <x:c r="N34" s="31" t="str">
        <x:f>IF(I34="","",L34-POWER(I34,2)*M34)</x:f>
      </x:c>
      <x:c r="O34" s="31" t="str">
        <x:f>IF(N34="","",POWER(K34,2)-4*J34*N34)</x:f>
      </x:c>
      <x:c r="P34" s="31" t="str">
        <x:f>IF(O34="","",(-K34+SQRT(O34))/(2*J34))</x:f>
      </x:c>
      <x:c r="Q34" s="31" t="str">
        <x:f>IF(P34="","",20*LOG10(P34))</x:f>
      </x:c>
      <x:c r="R34" s="31" t="str">
        <x:f>IF(Q34="","",-4*(Q34+10))</x:f>
      </x:c>
    </x:row>
    <x:row r="35">
      <x:c r="A35" t="str">
        <x:f>'Measurements'!A35</x:f>
        <x:v>B8_85</x:v>
      </x:c>
      <x:c r="B35" s="27" t="n">
        <x:f>'Measurements'!B35</x:f>
        <x:v>8</x:v>
      </x:c>
      <x:c r="C35" s="27" t="n">
        <x:f>'Measurements'!C35</x:f>
        <x:v>6727</x:v>
      </x:c>
      <x:c r="D35" s="32" t="n">
        <x:f>'Measurements'!D35</x:f>
        <x:v>85</x:v>
      </x:c>
      <x:c r="E35" s="32" t="n">
        <x:f>'Measurements'!E35</x:f>
        <x:v>-19.85</x:v>
      </x:c>
      <x:c r="F35" s="32" t="str">
        <x:f>IF('Measurements'!F35="","",'Measurements'!F35)</x:f>
      </x:c>
      <x:c r="G35" s="32" t="str">
        <x:f>IF('Measurements'!G35="","",'Measurements'!G35)</x:f>
      </x:c>
      <x:c r="H35" s="31" t="str">
        <x:f>IF(COUNT(F35:G35)=2,G35-F35,"")</x:f>
      </x:c>
      <x:c r="I35" s="31" t="str">
        <x:f>IF(H35="","",POWER(10,H35/20))</x:f>
      </x:c>
      <x:c r="J35" s="31" t="n">
        <x:f>'Model'!G12</x:f>
        <x:v>0.32079630624039196</x:v>
      </x:c>
      <x:c r="K35" s="31" t="n">
        <x:f>'Model'!H12</x:f>
        <x:v>0.49117712808866315</x:v>
      </x:c>
      <x:c r="L35" s="31" t="n">
        <x:f>'Model'!I12</x:f>
        <x:v>0.18801543815591001</x:v>
      </x:c>
      <x:c r="M35" s="31" t="n">
        <x:f>'Model'!J12</x:f>
        <x:v>0.9999888724849652</x:v>
      </x:c>
      <x:c r="N35" s="31" t="str">
        <x:f>IF(I35="","",L35-POWER(I35,2)*M35)</x:f>
      </x:c>
      <x:c r="O35" s="31" t="str">
        <x:f>IF(N35="","",POWER(K35,2)-4*J35*N35)</x:f>
      </x:c>
      <x:c r="P35" s="31" t="str">
        <x:f>IF(O35="","",(-K35+SQRT(O35))/(2*J35))</x:f>
      </x:c>
      <x:c r="Q35" s="31" t="str">
        <x:f>IF(P35="","",20*LOG10(P35))</x:f>
      </x:c>
      <x:c r="R35" s="31" t="str">
        <x:f>IF(Q35="","",-4*(Q35+10))</x:f>
      </x:c>
    </x:row>
    <x:row r="36">
      <x:c r="A36" t="str">
        <x:f>'Measurements'!A36</x:f>
        <x:v>B8_95</x:v>
      </x:c>
      <x:c r="B36" s="27" t="n">
        <x:f>'Measurements'!B36</x:f>
        <x:v>8</x:v>
      </x:c>
      <x:c r="C36" s="27" t="n">
        <x:f>'Measurements'!C36</x:f>
        <x:v>6727</x:v>
      </x:c>
      <x:c r="D36" s="32" t="n">
        <x:f>'Measurements'!D36</x:f>
        <x:v>95</x:v>
      </x:c>
      <x:c r="E36" s="32" t="n">
        <x:f>'Measurements'!E36</x:f>
        <x:v>-9.85</x:v>
      </x:c>
      <x:c r="F36" s="32" t="str">
        <x:f>IF('Measurements'!F36="","",'Measurements'!F36)</x:f>
      </x:c>
      <x:c r="G36" s="32" t="str">
        <x:f>IF('Measurements'!G36="","",'Measurements'!G36)</x:f>
      </x:c>
      <x:c r="H36" s="31" t="str">
        <x:f>IF(COUNT(F36:G36)=2,G36-F36,"")</x:f>
      </x:c>
      <x:c r="I36" s="31" t="str">
        <x:f>IF(H36="","",POWER(10,H36/20))</x:f>
      </x:c>
      <x:c r="J36" s="31" t="n">
        <x:f>'Model'!G12</x:f>
        <x:v>0.32079630624039196</x:v>
      </x:c>
      <x:c r="K36" s="31" t="n">
        <x:f>'Model'!H12</x:f>
        <x:v>0.49117712808866315</x:v>
      </x:c>
      <x:c r="L36" s="31" t="n">
        <x:f>'Model'!I12</x:f>
        <x:v>0.18801543815591001</x:v>
      </x:c>
      <x:c r="M36" s="31" t="n">
        <x:f>'Model'!J12</x:f>
        <x:v>0.9999888724849652</x:v>
      </x:c>
      <x:c r="N36" s="31" t="str">
        <x:f>IF(I36="","",L36-POWER(I36,2)*M36)</x:f>
      </x:c>
      <x:c r="O36" s="31" t="str">
        <x:f>IF(N36="","",POWER(K36,2)-4*J36*N36)</x:f>
      </x:c>
      <x:c r="P36" s="31" t="str">
        <x:f>IF(O36="","",(-K36+SQRT(O36))/(2*J36))</x:f>
      </x:c>
      <x:c r="Q36" s="31" t="str">
        <x:f>IF(P36="","",20*LOG10(P36))</x:f>
      </x:c>
      <x:c r="R36" s="31" t="str">
        <x:f>IF(Q36="","",-4*(Q36+10))</x:f>
      </x:c>
    </x:row>
  </x:sheetData>
  <x:mergeCells>
    <x:mergeCell ref="A1:R2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20" hidden="0" customWidth="1"/>
    <x:col min="3" max="3" width="30" hidden="0" customWidth="1"/>
    <x:col min="4" max="4" width="30" hidden="0" customWidth="1"/>
    <x:col min="5" max="5" width="38" hidden="0" customWidth="1"/>
    <x:col min="6" max="6" width="38" hidden="0" customWidth="1"/>
  </x:cols>
  <x:sheetData>
    <x:row r="1">
      <x:c r="A1" s="3" t="str">
        <x:v>Cobertura da campanha comum N1–N10</x:v>
      </x:c>
      <x:c r="B1" s="3"/>
      <x:c r="C1" s="3"/>
      <x:c r="D1" s="3"/>
      <x:c r="E1" s="3"/>
      <x:c r="F1" s="3"/>
    </x:row>
    <x:row r="2">
      <x:c r="A2" s="3"/>
      <x:c r="B2" s="3"/>
      <x:c r="C2" s="3"/>
      <x:c r="D2" s="3"/>
      <x:c r="E2" s="3"/>
      <x:c r="F2" s="3"/>
    </x:row>
    <x:row r="4">
      <x:c r="A4" s="20" t="str">
        <x:v>band</x:v>
      </x:c>
      <x:c r="B4" s="24" t="str">
        <x:v>test_frequency_hz</x:v>
      </x:c>
      <x:c r="C4" s="24" t="str">
        <x:v>levels_db_spl</x:v>
      </x:c>
      <x:c r="D4" s="24" t="str">
        <x:v>rew_dac_levels_dbv</x:v>
      </x:c>
      <x:c r="E4" s="24" t="str">
        <x:v>script</x:v>
      </x:c>
      <x:c r="F4" s="21" t="str">
        <x:v>scope</x:v>
      </x:c>
    </x:row>
    <x:row r="5">
      <x:c r="A5" s="27" t="n">
        <x:v>1</x:v>
      </x:c>
      <x:c r="B5" s="27" t="n">
        <x:v>177</x:v>
      </x:c>
      <x:c r="C5" t="str">
        <x:v>45, 65, 85, 95</x:v>
      </x:c>
      <x:c r="D5" t="str">
        <x:v>-59.85, -39.85, -19.85, -9.85</x:v>
      </x:c>
      <x:c r="E5" t="str">
        <x:v>B1_detector_identification.sss</x:v>
      </x:c>
      <x:c r="F5" t="str">
        <x:v>one EVAL calibration reused by N1-N10</x:v>
      </x:c>
    </x:row>
    <x:row r="6">
      <x:c r="A6" s="27" t="n">
        <x:v>2</x:v>
      </x:c>
      <x:c r="B6" s="27" t="n">
        <x:v>297</x:v>
      </x:c>
      <x:c r="C6" t="str">
        <x:v>45, 65, 85, 95</x:v>
      </x:c>
      <x:c r="D6" t="str">
        <x:v>-59.85, -39.85, -19.85, -9.85</x:v>
      </x:c>
      <x:c r="E6" t="str">
        <x:v>B2_detector_identification.sss</x:v>
      </x:c>
      <x:c r="F6" t="str">
        <x:v>one EVAL calibration reused by N1-N10</x:v>
      </x:c>
    </x:row>
    <x:row r="7">
      <x:c r="A7" s="27" t="n">
        <x:v>3</x:v>
      </x:c>
      <x:c r="B7" s="27" t="n">
        <x:v>500</x:v>
      </x:c>
      <x:c r="C7" t="str">
        <x:v>45, 65, 85, 95</x:v>
      </x:c>
      <x:c r="D7" t="str">
        <x:v>-59.85, -39.85, -19.85, -9.85</x:v>
      </x:c>
      <x:c r="E7" t="str">
        <x:v>B3_detector_identification.sss</x:v>
      </x:c>
      <x:c r="F7" t="str">
        <x:v>one EVAL calibration reused by N1-N10</x:v>
      </x:c>
    </x:row>
    <x:row r="8">
      <x:c r="A8" s="27" t="n">
        <x:v>4</x:v>
      </x:c>
      <x:c r="B8" s="27" t="n">
        <x:v>841</x:v>
      </x:c>
      <x:c r="C8" t="str">
        <x:v>45, 65, 85, 95</x:v>
      </x:c>
      <x:c r="D8" t="str">
        <x:v>-59.85, -39.85, -19.85, -9.85</x:v>
      </x:c>
      <x:c r="E8" t="str">
        <x:v>B4_detector_identification.sss</x:v>
      </x:c>
      <x:c r="F8" t="str">
        <x:v>one EVAL calibration reused by N1-N10</x:v>
      </x:c>
    </x:row>
    <x:row r="9">
      <x:c r="A9" s="27" t="n">
        <x:v>5</x:v>
      </x:c>
      <x:c r="B9" s="27" t="n">
        <x:v>1414</x:v>
      </x:c>
      <x:c r="C9" t="str">
        <x:v>45, 65, 85, 95</x:v>
      </x:c>
      <x:c r="D9" t="str">
        <x:v>-59.85, -39.85, -19.85, -9.85</x:v>
      </x:c>
      <x:c r="E9" t="str">
        <x:v>B5_detector_identification.sss</x:v>
      </x:c>
      <x:c r="F9" t="str">
        <x:v>one EVAL calibration reused by N1-N10</x:v>
      </x:c>
    </x:row>
    <x:row r="10">
      <x:c r="A10" s="27" t="n">
        <x:v>6</x:v>
      </x:c>
      <x:c r="B10" s="27" t="n">
        <x:v>2378</x:v>
      </x:c>
      <x:c r="C10" t="str">
        <x:v>45, 65, 85, 95</x:v>
      </x:c>
      <x:c r="D10" t="str">
        <x:v>-59.85, -39.85, -19.85, -9.85</x:v>
      </x:c>
      <x:c r="E10" t="str">
        <x:v>B6_detector_identification.sss</x:v>
      </x:c>
      <x:c r="F10" t="str">
        <x:v>one EVAL calibration reused by N1-N10</x:v>
      </x:c>
    </x:row>
    <x:row r="11">
      <x:c r="A11" s="27" t="n">
        <x:v>7</x:v>
      </x:c>
      <x:c r="B11" s="27" t="n">
        <x:v>4000</x:v>
      </x:c>
      <x:c r="C11" t="str">
        <x:v>45, 65, 85, 95</x:v>
      </x:c>
      <x:c r="D11" t="str">
        <x:v>-59.85, -39.85, -19.85, -9.85</x:v>
      </x:c>
      <x:c r="E11" t="str">
        <x:v>B7_detector_identification.sss</x:v>
      </x:c>
      <x:c r="F11" t="str">
        <x:v>one EVAL calibration reused by N1-N10</x:v>
      </x:c>
    </x:row>
    <x:row r="12">
      <x:c r="A12" s="27" t="n">
        <x:v>8</x:v>
      </x:c>
      <x:c r="B12" s="27" t="n">
        <x:v>6727</x:v>
      </x:c>
      <x:c r="C12" t="str">
        <x:v>45, 65, 85, 95</x:v>
      </x:c>
      <x:c r="D12" t="str">
        <x:v>-59.85, -39.85, -19.85, -9.85</x:v>
      </x:c>
      <x:c r="E12" t="str">
        <x:v>B8_detector_identification.sss</x:v>
      </x:c>
      <x:c r="F12" t="str">
        <x:v>one EVAL calibration reused by N1-N10</x:v>
      </x:c>
    </x:row>
  </x:sheetData>
  <x:mergeCells>
    <x:mergeCell ref="A1:F2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</x:cols>
  <x:sheetData>
    <x:row r="1">
      <x:c r="A1" s="3" t="str">
        <x:v>Modelo linear extraído do export SigmaStudio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>
      <x:c r="A2" s="3"/>
      <x:c r="B2" s="3"/>
      <x:c r="C2" s="3"/>
      <x:c r="D2" s="3"/>
      <x:c r="E2" s="3"/>
      <x:c r="F2" s="3"/>
      <x:c r="G2" s="3"/>
      <x:c r="H2" s="3"/>
      <x:c r="I2" s="3"/>
      <x:c r="J2" s="3"/>
      <x:c r="K2" s="3"/>
      <x:c r="L2" s="3"/>
      <x:c r="M2" s="3"/>
    </x:row>
    <x:row r="4">
      <x:c r="A4" s="20" t="str">
        <x:v>band</x:v>
      </x:c>
      <x:c r="B4" s="24" t="str">
        <x:v>frequency_hz</x:v>
      </x:c>
      <x:c r="C4" s="24" t="str">
        <x:v>target_real</x:v>
      </x:c>
      <x:c r="D4" s="24" t="str">
        <x:v>target_imag</x:v>
      </x:c>
      <x:c r="E4" s="24" t="str">
        <x:v>remainder_real</x:v>
      </x:c>
      <x:c r="F4" s="24" t="str">
        <x:v>remainder_imag</x:v>
      </x:c>
      <x:c r="G4" s="24" t="str">
        <x:v>target_squared_a</x:v>
      </x:c>
      <x:c r="H4" s="24" t="str">
        <x:v>cross_term_b</x:v>
      </x:c>
      <x:c r="I4" s="24" t="str">
        <x:v>remainder_squared</x:v>
      </x:c>
      <x:c r="J4" s="24" t="str">
        <x:v>unity_squared</x:v>
      </x:c>
      <x:c r="K4" s="24" t="str">
        <x:v>target_magnitude</x:v>
      </x:c>
      <x:c r="L4" s="24" t="str">
        <x:v>remainder_magnitude</x:v>
      </x:c>
      <x:c r="M4" s="21" t="str">
        <x:v>phase_difference_deg</x:v>
      </x:c>
    </x:row>
    <x:row r="5">
      <x:c r="A5" s="27" t="n">
        <x:v>1</x:v>
      </x:c>
      <x:c r="B5" s="27" t="n">
        <x:v>177</x:v>
      </x:c>
      <x:c r="C5" s="29" t="n">
        <x:v>0.6017115385605093</x:v>
      </x:c>
      <x:c r="D5" s="29" t="n">
        <x:v>0.42735645027832736</x:v>
      </x:c>
      <x:c r="E5" s="29" t="n">
        <x:v>0.21205490911833258</x:v>
      </x:c>
      <x:c r="F5" s="29" t="n">
        <x:v>0.15389178778419355</x:v>
      </x:c>
      <x:c r="G5" s="29" t="n">
        <x:v>0.5446903112313478</x:v>
      </x:c>
      <x:c r="H5" s="29" t="n">
        <x:v>0.38672506755867897</x:v>
      </x:c>
      <x:c r="I5" s="29" t="n">
        <x:v>0.06864996682859954</x:v>
      </x:c>
      <x:c r="J5" s="29" t="n">
        <x:v>1.0000653456186264</x:v>
      </x:c>
      <x:c r="K5" s="29" t="n">
        <x:v>0.738031375506047</x:v>
      </x:c>
      <x:c r="L5" s="29" t="n">
        <x:v>0.2620113868300375</x:v>
      </x:c>
      <x:c r="M5" s="29" t="n">
        <x:v>-0.5853250335342448</x:v>
      </x:c>
    </x:row>
    <x:row r="6">
      <x:c r="A6" s="27" t="n">
        <x:v>2</x:v>
      </x:c>
      <x:c r="B6" s="27" t="n">
        <x:v>297</x:v>
      </x:c>
      <x:c r="C6" s="29" t="n">
        <x:v>-0.5455668837429178</x:v>
      </x:c>
      <x:c r="D6" s="29" t="n">
        <x:v>0.00586685851988578</x:v>
      </x:c>
      <x:c r="E6" s="29" t="n">
        <x:v>-0.45443341358474687</x:v>
      </x:c>
      <x:c r="F6" s="29" t="n">
        <x:v>0.0046471440223519135</x:v>
      </x:c>
      <x:c r="G6" s="29" t="n">
        <x:v>0.2976776446658508</x:v>
      </x:c>
      <x:c r="H6" s="29" t="n">
        <x:v>0.49590217090917516</x:v>
      </x:c>
      <x:c r="I6" s="29" t="n">
        <x:v>0.2065313233298501</x:v>
      </x:c>
      <x:c r="J6" s="29" t="n">
        <x:v>1.0001111389048762</x:v>
      </x:c>
      <x:c r="K6" s="29" t="n">
        <x:v>0.5455984280272907</x:v>
      </x:c>
      <x:c r="L6" s="29" t="n">
        <x:v>0.45445717436283267</x:v>
      </x:c>
      <x:c r="M6" s="29" t="n">
        <x:v>-0.0302176201231123</x:v>
      </x:c>
    </x:row>
    <x:row r="7">
      <x:c r="A7" s="27" t="n">
        <x:v>3</x:v>
      </x:c>
      <x:c r="B7" s="27" t="n">
        <x:v>500</x:v>
      </x:c>
      <x:c r="C7" s="29" t="n">
        <x:v>-0.05361156807075702</x:v>
      </x:c>
      <x:c r="D7" s="29" t="n">
        <x:v>-0.5204818907020102</x:v>
      </x:c>
      <x:c r="E7" s="29" t="n">
        <x:v>-0.04860186903627255</x:v>
      </x:c>
      <x:c r="F7" s="29" t="n">
        <x:v>-0.4743045128410577</x:v>
      </x:c>
      <x:c r="G7" s="29" t="n">
        <x:v>0.27377559877974483</x:v>
      </x:c>
      <x:c r="H7" s="29" t="n">
        <x:v>0.49894506404442746</x:v>
      </x:c>
      <x:c r="I7" s="29" t="n">
        <x:v>0.227326912575212</x:v>
      </x:c>
      <x:c r="J7" s="29" t="n">
        <x:v>1.000047575399384</x:v>
      </x:c>
      <x:c r="K7" s="29" t="n">
        <x:v>0.5232357009797256</x:v>
      </x:c>
      <x:c r="L7" s="29" t="n">
        <x:v>0.4767881212605994</x:v>
      </x:c>
      <x:c r="M7" s="29" t="n">
        <x:v>-0.03027387049880892</x:v>
      </x:c>
    </x:row>
    <x:row r="8">
      <x:c r="A8" s="27" t="n">
        <x:v>4</x:v>
      </x:c>
      <x:c r="B8" s="27" t="n">
        <x:v>841</x:v>
      </x:c>
      <x:c r="C8" s="29" t="n">
        <x:v>0.3985658201767558</x:v>
      </x:c>
      <x:c r="D8" s="29" t="n">
        <x:v>-0.33476043251965865</x:v>
      </x:c>
      <x:c r="E8" s="29" t="n">
        <x:v>0.36735483071609343</x:v>
      </x:c>
      <x:c r="F8" s="29" t="n">
        <x:v>-0.30816935088905323</x:v>
      </x:c>
      <x:c r="G8" s="29" t="n">
        <x:v>0.2709192601939189</x:v>
      </x:c>
      <x:c r="H8" s="29" t="n">
        <x:v>0.49915596918634997</x:v>
      </x:c>
      <x:c r="I8" s="29" t="n">
        <x:v>0.22991792047783005</x:v>
      </x:c>
      <x:c r="J8" s="29" t="n">
        <x:v>0.9999931498580991</x:v>
      </x:c>
      <x:c r="K8" s="29" t="n">
        <x:v>0.5204990491767674</x:v>
      </x:c>
      <x:c r="L8" s="29" t="n">
        <x:v>0.47949757087792433</x:v>
      </x:c>
      <x:c r="M8" s="29" t="n">
        <x:v>-0.03445669699687307</x:v>
      </x:c>
    </x:row>
    <x:row r="9">
      <x:c r="A9" s="27" t="n">
        <x:v>5</x:v>
      </x:c>
      <x:c r="B9" s="27" t="n">
        <x:v>1414</x:v>
      </x:c>
      <x:c r="C9" s="29" t="n">
        <x:v>0.5199573830397418</x:v>
      </x:c>
      <x:c r="D9" s="29" t="n">
        <x:v>0.03747089048093235</x:v>
      </x:c>
      <x:c r="E9" s="29" t="n">
        <x:v>0.4774253623690956</x:v>
      </x:c>
      <x:c r="F9" s="29" t="n">
        <x:v>0.034690824554029796</x:v>
      </x:c>
      <x:c r="G9" s="29" t="n">
        <x:v>0.2717597478109708</x:v>
      </x:c>
      <x:c r="H9" s="29" t="n">
        <x:v>0.49908147620358534</x:v>
      </x:c>
      <x:c r="I9" s="29" t="n">
        <x:v>0.22913842994150074</x:v>
      </x:c>
      <x:c r="J9" s="29" t="n">
        <x:v>0.999979653956057</x:v>
      </x:c>
      <x:c r="K9" s="29" t="n">
        <x:v>0.5213058102601301</x:v>
      </x:c>
      <x:c r="L9" s="29" t="n">
        <x:v>0.4786840606720687</x:v>
      </x:c>
      <x:c r="M9" s="29" t="n">
        <x:v>-0.03402672879167839</x:v>
      </x:c>
    </x:row>
    <x:row r="10">
      <x:c r="A10" s="27" t="n">
        <x:v>6</x:v>
      </x:c>
      <x:c r="B10" s="27" t="n">
        <x:v>2378</x:v>
      </x:c>
      <x:c r="C10" s="29" t="n">
        <x:v>0.35186794838239965</x:v>
      </x:c>
      <x:c r="D10" s="29" t="n">
        <x:v>0.38957131564135616</x:v>
      </x:c>
      <x:c r="E10" s="29" t="n">
        <x:v>0.3182249574986955</x:v>
      </x:c>
      <x:c r="F10" s="29" t="n">
        <x:v>0.35268491139809643</x:v>
      </x:c>
      <x:c r="G10" s="29" t="n">
        <x:v>0.2755768630693762</x:v>
      </x:c>
      <x:c r="H10" s="29" t="n">
        <x:v>0.4987381757187077</x:v>
      </x:c>
      <x:c r="I10" s="29" t="n">
        <x:v>0.2256537703029297</x:v>
      </x:c>
      <x:c r="J10" s="29" t="n">
        <x:v>0.9999688090910138</x:v>
      </x:c>
      <x:c r="K10" s="29" t="n">
        <x:v>0.5249541533023395</x:v>
      </x:c>
      <x:c r="L10" s="29" t="n">
        <x:v>0.4750302835640373</x:v>
      </x:c>
      <x:c r="M10" s="29" t="n">
        <x:v>-0.029226038024349664</x:v>
      </x:c>
    </x:row>
    <x:row r="11">
      <x:c r="A11" s="27" t="n">
        <x:v>7</x:v>
      </x:c>
      <x:c r="B11" s="27" t="n">
        <x:v>4000</x:v>
      </x:c>
      <x:c r="C11" s="29" t="n">
        <x:v>-0.10268349614703916</x:v>
      </x:c>
      <x:c r="D11" s="29" t="n">
        <x:v>0.5253184086733296</x:v>
      </x:c>
      <x:c r="E11" s="29" t="n">
        <x:v>-0.08923499533703246</x:v>
      </x:c>
      <x:c r="F11" s="29" t="n">
        <x:v>0.45607729206993564</x:v>
      </x:c>
      <x:c r="G11" s="29" t="n">
        <x:v>0.2865033308720583</x:v>
      </x:c>
      <x:c r="H11" s="29" t="n">
        <x:v>0.49749751720418234</x:v>
      </x:c>
      <x:c r="I11" s="29" t="n">
        <x:v>0.2159693807346456</x:v>
      </x:c>
      <x:c r="J11" s="29" t="n">
        <x:v>0.9999702288108862</x:v>
      </x:c>
      <x:c r="K11" s="29" t="n">
        <x:v>0.5352600591040381</x:v>
      </x:c>
      <x:c r="L11" s="29" t="n">
        <x:v>0.46472505929274527</x:v>
      </x:c>
      <x:c r="M11" s="29" t="n">
        <x:v>-0.010405399648522624</x:v>
      </x:c>
    </x:row>
    <x:row r="12">
      <x:c r="A12" s="27" t="n">
        <x:v>8</x:v>
      </x:c>
      <x:c r="B12" s="27" t="n">
        <x:v>6727</x:v>
      </x:c>
      <x:c r="C12" s="29" t="n">
        <x:v>-0.562198317818678</x:v>
      </x:c>
      <x:c r="D12" s="29" t="n">
        <x:v>0.06877032559353331</x:v>
      </x:c>
      <x:c r="E12" s="29" t="n">
        <x:v>-0.4301910024608393</x:v>
      </x:c>
      <x:c r="F12" s="29" t="n">
        <x:v>0.05432439192156836</x:v>
      </x:c>
      <x:c r="G12" s="29" t="n">
        <x:v>0.32079630624039196</x:v>
      </x:c>
      <x:c r="H12" s="29" t="n">
        <x:v>0.49117712808866315</x:v>
      </x:c>
      <x:c r="I12" s="29" t="n">
        <x:v>0.18801543815591001</x:v>
      </x:c>
      <x:c r="J12" s="29" t="n">
        <x:v>0.9999888724849652</x:v>
      </x:c>
      <x:c r="K12" s="29" t="n">
        <x:v>0.5663888295512121</x:v>
      </x:c>
      <x:c r="L12" s="29" t="n">
        <x:v>0.43360747013388734</x:v>
      </x:c>
      <x:c r="M12" s="29" t="n">
        <x:v>0.22319835880082953</x:v>
      </x:c>
    </x:row>
  </x:sheetData>
  <x:mergeCells>
    <x:mergeCell ref="A1:M2"/>
  </x:mergeCells>
  <x:pageMargins left="0.7" right="0.7" top="0.75" bottom="0.75" header="0.3" footer="0.3"/>
</x:worksheet>
</file>