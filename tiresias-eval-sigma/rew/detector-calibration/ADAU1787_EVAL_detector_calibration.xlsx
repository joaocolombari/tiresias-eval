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rotocol" sheetId="2" r:id="rId5"/>
    <sheet name="Measurements" sheetId="3" r:id="rId6"/>
    <sheet name="Analysis" sheetId="4" r:id="rId7"/>
    <sheet name="Coverage" sheetId="5" r:id="rId8"/>
    <sheet name="Model" sheetId="6" r:id="rId9"/>
  </sheets>
</workbook>
</file>

<file path=xl/sharedStrings.xml><?xml version="1.0" encoding="utf-8"?>
<sst xmlns="http://schemas.openxmlformats.org/spreadsheetml/2006/main" uniqueCount="127">
  <si>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</si>
  <si>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</si>
  <si>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</si>
  <si>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</si>
  <si>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Protocol</t>
  </si>
  <si>
    <t>Table 1</t>
  </si>
  <si>
    <t>ADAU1787 EVAL — calibração comum dos detectores B1–B8</t>
  </si>
  <si>
    <t>Objetivo</t>
  </si>
  <si>
    <t>Identificar uma vez os detectores RMS de B1–B8 e reutilizar a calibração para N1–N10.</t>
  </si>
  <si>
    <t>Estado inicial</t>
  </si>
  <si>
    <t>Execute Link Compile Download. Todas as LUTs B1–B8 e os três biases devem estar em unity.</t>
  </si>
  <si>
    <t>Frequência</t>
  </si>
  <si>
    <t>Use a frequência indicada para cada banda e anote somente essa componente espectral no REW.</t>
  </si>
  <si>
    <t>Níveis</t>
  </si>
  <si>
    <t>Use somente −59,85; −39,85; −19,85 e −9,85 dBV, equivalentes a 45, 65, 85 e 95 dB SPL.</t>
  </si>
  <si>
    <t>Unity</t>
  </si>
  <si>
    <t>Meça os quatro níveis antes de carregar a LUT de identificação da banda.</t>
  </si>
  <si>
    <t>Identificação</t>
  </si>
  <si>
    <t>Carregue B&lt;n&gt;_detector_identification.sss uma vez e repita os quatro níveis.</t>
  </si>
  <si>
    <t>Estabilização</t>
  </si>
  <si>
    <t>Aguarde pelo menos 2 s após mudar frequência ou nível antes de registrar a componente espectral.</t>
  </si>
  <si>
    <t>Restauração</t>
  </si>
  <si>
    <t>Use detector_identification_restore_all_unity.sss ou Link Compile Download entre bandas.</t>
  </si>
  <si>
    <t>Registro</t>
  </si>
  <si>
    <t>Preencha somente as células amarelas da aba Measurements; as demais abas são calculadas.</t>
  </si>
  <si>
    <t>Importante</t>
  </si>
  <si>
    <t>Não use sweep. Esta campanha pertence ao EVAL e será feita apenas uma vez, não uma vez por prescrição.</t>
  </si>
  <si>
    <t>Script/arquivo</t>
  </si>
  <si>
    <t>Caminho relativo a tiresias-eval-sigma</t>
  </si>
  <si>
    <t>Banda atual</t>
  </si>
  <si>
    <t>scripts/generated/detector-identification/B&lt;n&gt;_detector_identification.sss</t>
  </si>
  <si>
    <t>Exemplo B1</t>
  </si>
  <si>
    <t>scripts/generated/detector-identification/B1_detector_identification.sss</t>
  </si>
  <si>
    <t>Restaurar unity</t>
  </si>
  <si>
    <t>scripts/generated/detector-identification/detector_identification_restore_all_unity.sss</t>
  </si>
  <si>
    <t>Resultado comum</t>
  </si>
  <si>
    <t>config/detector_calibration_eval.json</t>
  </si>
  <si>
    <t>Measurements</t>
  </si>
  <si>
    <t>Calibração comum B1–B8 — preencher somente F, G e H</t>
  </si>
  <si>
    <t>test_id</t>
  </si>
  <si>
    <t>band</t>
  </si>
  <si>
    <t>frequency_hz</t>
  </si>
  <si>
    <t>equivalent_level_db_spl</t>
  </si>
  <si>
    <t>rew_dac_output_dbv</t>
  </si>
  <si>
    <t>unity_component_dbv</t>
  </si>
  <si>
    <t>identification_component_dbv</t>
  </si>
  <si>
    <t>notes</t>
  </si>
  <si>
    <t>B1_45</t>
  </si>
  <si>
    <t>B1_65</t>
  </si>
  <si>
    <t>B1_85</t>
  </si>
  <si>
    <t>B1_95</t>
  </si>
  <si>
    <t>B2_45</t>
  </si>
  <si>
    <t>B2_65</t>
  </si>
  <si>
    <t>B2_85</t>
  </si>
  <si>
    <t>B2_95</t>
  </si>
  <si>
    <t>B3_45</t>
  </si>
  <si>
    <t>B3_65</t>
  </si>
  <si>
    <t>B3_85</t>
  </si>
  <si>
    <t>B3_95</t>
  </si>
  <si>
    <t>B4_45</t>
  </si>
  <si>
    <t>B4_65</t>
  </si>
  <si>
    <t>B4_85</t>
  </si>
  <si>
    <t>B4_95</t>
  </si>
  <si>
    <t>B5_45</t>
  </si>
  <si>
    <t>B5_65</t>
  </si>
  <si>
    <t>B5_85</t>
  </si>
  <si>
    <t>B5_95</t>
  </si>
  <si>
    <t>B6_45</t>
  </si>
  <si>
    <t>B6_65</t>
  </si>
  <si>
    <t>B6_85</t>
  </si>
  <si>
    <t>B6_95</t>
  </si>
  <si>
    <t>B7_45</t>
  </si>
  <si>
    <t>B7_65</t>
  </si>
  <si>
    <t>B7_85</t>
  </si>
  <si>
    <t>B7_95</t>
  </si>
  <si>
    <t>B8_45</t>
  </si>
  <si>
    <t>B8_65</t>
  </si>
  <si>
    <t>B8_85</t>
  </si>
  <si>
    <t>B8_95</t>
  </si>
  <si>
    <t>Analysis</t>
  </si>
  <si>
    <t>Análise automática da identificação comum</t>
  </si>
  <si>
    <t>level_db_spl</t>
  </si>
  <si>
    <t>dac_dbv</t>
  </si>
  <si>
    <t>unity_dbv</t>
  </si>
  <si>
    <t>ident_dbv</t>
  </si>
  <si>
    <t>insertion_db</t>
  </si>
  <si>
    <t>output_ratio</t>
  </si>
  <si>
    <t>a</t>
  </si>
  <si>
    <t>b</t>
  </si>
  <si>
    <t>remainder_sq</t>
  </si>
  <si>
    <t>unity_sq</t>
  </si>
  <si>
    <t>quadratic_c</t>
  </si>
  <si>
    <t>discriminant</t>
  </si>
  <si>
    <t>compressor_linear_gain</t>
  </si>
  <si>
    <t>identification_gain_db</t>
  </si>
  <si>
    <t>detector_dbfs</t>
  </si>
  <si>
    <t>Coverage</t>
  </si>
  <si>
    <t>Cobertura da campanha comum N1–N10</t>
  </si>
  <si>
    <t>test_frequency_hz</t>
  </si>
  <si>
    <t>levels_db_spl</t>
  </si>
  <si>
    <t>rew_dac_levels_dbv</t>
  </si>
  <si>
    <t>script</t>
  </si>
  <si>
    <t>scope</t>
  </si>
  <si>
    <t>45, 65, 85, 95</t>
  </si>
  <si>
    <t>-59.85, -39.85, -19.85, -9.85</t>
  </si>
  <si>
    <t>B1_detector_identification.sss</t>
  </si>
  <si>
    <t>one EVAL calibration reused by N1-N10</t>
  </si>
  <si>
    <t>B2_detector_identification.sss</t>
  </si>
  <si>
    <t>B3_detector_identification.sss</t>
  </si>
  <si>
    <t>B4_detector_identification.sss</t>
  </si>
  <si>
    <t>B5_detector_identification.sss</t>
  </si>
  <si>
    <t>B6_detector_identification.sss</t>
  </si>
  <si>
    <t>B7_detector_identification.sss</t>
  </si>
  <si>
    <t>B8_detector_identification.sss</t>
  </si>
  <si>
    <t>Model</t>
  </si>
  <si>
    <t>Modelo linear extraído do export SigmaStudio</t>
  </si>
  <si>
    <t>target_real</t>
  </si>
  <si>
    <t>target_imag</t>
  </si>
  <si>
    <t>remainder_real</t>
  </si>
  <si>
    <t>remainder_imag</t>
  </si>
  <si>
    <t>target_squared_a</t>
  </si>
  <si>
    <t>cross_term_b</t>
  </si>
  <si>
    <t>remainder_squared</t>
  </si>
  <si>
    <t>unity_squared</t>
  </si>
  <si>
    <t>target_magnitude</t>
  </si>
  <si>
    <t>remainder_magnitude</t>
  </si>
  <si>
    <t>phase_difference_deg</t>
  </si>
</sst>
</file>

<file path=xl/styles.xml><?xml version="1.0" encoding="utf-8"?>
<styleSheet xmlns="http://schemas.openxmlformats.org/spreadsheetml/2006/main">
  <numFmts count="3">
    <numFmt numFmtId="0" formatCode="General"/>
    <numFmt numFmtId="59" formatCode="0.000"/>
    <numFmt numFmtId="60" formatCode="0.000000"/>
  </numFmts>
  <fonts count="9">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4"/>
      <color indexed="8"/>
      <name val="Carlito"/>
    </font>
    <font>
      <b val="1"/>
      <sz val="16"/>
      <color indexed="12"/>
      <name val="Carlito"/>
    </font>
    <font>
      <b val="1"/>
      <sz val="11"/>
      <color indexed="8"/>
      <name val="Carlito"/>
    </font>
    <font>
      <b val="1"/>
      <sz val="11"/>
      <color indexed="12"/>
      <name val="Carlito"/>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30">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style="thin">
        <color indexed="14"/>
      </left>
      <right/>
      <top/>
      <bottom style="thin">
        <color indexed="15"/>
      </bottom>
      <diagonal/>
    </border>
    <border>
      <left/>
      <right/>
      <top/>
      <bottom style="thin">
        <color indexed="15"/>
      </bottom>
      <diagonal/>
    </border>
    <border>
      <left style="thin">
        <color indexed="15"/>
      </left>
      <right/>
      <top style="thin">
        <color indexed="15"/>
      </top>
      <bottom/>
      <diagonal/>
    </border>
    <border>
      <left/>
      <right style="thin">
        <color indexed="15"/>
      </right>
      <top style="thin">
        <color indexed="15"/>
      </top>
      <bottom/>
      <diagonal/>
    </border>
    <border>
      <left style="thin">
        <color indexed="15"/>
      </left>
      <right/>
      <top/>
      <bottom/>
      <diagonal/>
    </border>
    <border>
      <left/>
      <right style="thin">
        <color indexed="15"/>
      </right>
      <top/>
      <bottom/>
      <diagonal/>
    </border>
    <border>
      <left style="thin">
        <color indexed="15"/>
      </left>
      <right/>
      <top/>
      <bottom style="thin">
        <color indexed="15"/>
      </bottom>
      <diagonal/>
    </border>
    <border>
      <left/>
      <right style="thin">
        <color indexed="15"/>
      </right>
      <top/>
      <bottom style="thin">
        <color indexed="15"/>
      </bottom>
      <diagonal/>
    </border>
    <border>
      <left style="thin">
        <color indexed="14"/>
      </left>
      <right/>
      <top style="thin">
        <color indexed="15"/>
      </top>
      <bottom style="thin">
        <color indexed="17"/>
      </bottom>
      <diagonal/>
    </border>
    <border>
      <left/>
      <right/>
      <top style="thin">
        <color indexed="15"/>
      </top>
      <bottom style="thin">
        <color indexed="17"/>
      </bottom>
      <diagonal/>
    </border>
    <border>
      <left style="thin">
        <color indexed="17"/>
      </left>
      <right/>
      <top style="thin">
        <color indexed="17"/>
      </top>
      <bottom style="thin">
        <color indexed="17"/>
      </bottom>
      <diagonal/>
    </border>
    <border>
      <left/>
      <right style="thin">
        <color indexed="17"/>
      </right>
      <top style="thin">
        <color indexed="17"/>
      </top>
      <bottom style="thin">
        <color indexed="17"/>
      </bottom>
      <diagonal/>
    </border>
    <border>
      <left style="thin">
        <color indexed="17"/>
      </left>
      <right/>
      <top/>
      <bottom/>
      <diagonal/>
    </border>
    <border>
      <left style="thin">
        <color indexed="14"/>
      </left>
      <right/>
      <top style="thin">
        <color indexed="17"/>
      </top>
      <bottom/>
      <diagonal/>
    </border>
    <border>
      <left/>
      <right/>
      <top style="thin">
        <color indexed="17"/>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bottom style="thin">
        <color indexed="17"/>
      </bottom>
      <diagonal/>
    </border>
    <border>
      <left/>
      <right/>
      <top/>
      <bottom style="thin">
        <color indexed="17"/>
      </bottom>
      <diagonal/>
    </border>
    <border>
      <left/>
      <right style="thin">
        <color indexed="14"/>
      </right>
      <top/>
      <bottom style="thin">
        <color indexed="17"/>
      </bottom>
      <diagonal/>
    </border>
    <border>
      <left/>
      <right/>
      <top style="thin">
        <color indexed="17"/>
      </top>
      <bottom style="thin">
        <color indexed="17"/>
      </bottom>
      <diagonal/>
    </border>
    <border>
      <left/>
      <right style="thin">
        <color indexed="14"/>
      </right>
      <top style="thin">
        <color indexed="17"/>
      </top>
      <bottom/>
      <diagonal/>
    </border>
  </borders>
  <cellStyleXfs count="1">
    <xf numFmtId="0" fontId="0" applyNumberFormat="0" applyFont="1" applyFill="0" applyBorder="0" applyAlignment="1" applyProtection="0">
      <alignment vertical="bottom"/>
    </xf>
  </cellStyleXfs>
  <cellXfs count="8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center"/>
    </xf>
    <xf numFmtId="0" fontId="6" fillId="4" borderId="2" applyNumberFormat="0" applyFont="1" applyFill="1" applyBorder="1" applyAlignment="1" applyProtection="0">
      <alignment vertical="center"/>
    </xf>
    <xf numFmtId="0" fontId="6" fillId="4" borderId="3" applyNumberFormat="0" applyFont="1" applyFill="1" applyBorder="1" applyAlignment="1" applyProtection="0">
      <alignment vertical="center"/>
    </xf>
    <xf numFmtId="0" fontId="6" fillId="4" borderId="4" applyNumberFormat="0" applyFont="1" applyFill="1" applyBorder="1" applyAlignment="1" applyProtection="0">
      <alignment vertical="center"/>
    </xf>
    <xf numFmtId="0" fontId="6" fillId="4" borderId="5" applyNumberFormat="0" applyFont="1" applyFill="1" applyBorder="1" applyAlignment="1" applyProtection="0">
      <alignment vertical="center"/>
    </xf>
    <xf numFmtId="0" fontId="6" fillId="4" borderId="6" applyNumberFormat="0" applyFont="1" applyFill="1" applyBorder="1" applyAlignment="1" applyProtection="0">
      <alignment vertical="center"/>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fillId="5" borderId="9" applyNumberFormat="1" applyFont="1" applyFill="1" applyBorder="1" applyAlignment="1" applyProtection="0">
      <alignment vertical="bottom" wrapText="1"/>
    </xf>
    <xf numFmtId="49" fontId="0" fillId="6" borderId="10" applyNumberFormat="1" applyFont="1" applyFill="1" applyBorder="1" applyAlignment="1" applyProtection="0">
      <alignment vertical="bottom" wrapText="1"/>
    </xf>
    <xf numFmtId="0" fontId="0" borderId="11" applyNumberFormat="0" applyFont="1" applyFill="0" applyBorder="1" applyAlignment="1" applyProtection="0">
      <alignment vertical="bottom"/>
    </xf>
    <xf numFmtId="49" fontId="7" fillId="5" borderId="11" applyNumberFormat="1" applyFont="1" applyFill="1" applyBorder="1" applyAlignment="1" applyProtection="0">
      <alignment vertical="bottom" wrapText="1"/>
    </xf>
    <xf numFmtId="49" fontId="0" fillId="6" borderId="12" applyNumberFormat="1" applyFont="1" applyFill="1" applyBorder="1" applyAlignment="1" applyProtection="0">
      <alignment vertical="bottom" wrapText="1"/>
    </xf>
    <xf numFmtId="49" fontId="7" fillId="5" borderId="13" applyNumberFormat="1" applyFont="1" applyFill="1" applyBorder="1" applyAlignment="1" applyProtection="0">
      <alignment vertical="bottom" wrapText="1"/>
    </xf>
    <xf numFmtId="49" fontId="0" fillId="6" borderId="14" applyNumberFormat="1" applyFont="1" applyFill="1" applyBorder="1" applyAlignment="1" applyProtection="0">
      <alignment vertical="bottom" wrapText="1"/>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xf numFmtId="49" fontId="8" fillId="7" borderId="17" applyNumberFormat="1" applyFont="1" applyFill="1" applyBorder="1" applyAlignment="1" applyProtection="0">
      <alignment vertical="center" wrapText="1"/>
    </xf>
    <xf numFmtId="49" fontId="8" fillId="7" borderId="18" applyNumberFormat="1" applyFont="1" applyFill="1" applyBorder="1" applyAlignment="1" applyProtection="0">
      <alignment vertical="center" wrapText="1"/>
    </xf>
    <xf numFmtId="0" fontId="0" borderId="19" applyNumberFormat="0" applyFont="1" applyFill="0" applyBorder="1" applyAlignment="1" applyProtection="0">
      <alignment vertical="bottom"/>
    </xf>
    <xf numFmtId="49" fontId="0" fillId="6" borderId="20" applyNumberFormat="1" applyFont="1" applyFill="1" applyBorder="1" applyAlignment="1" applyProtection="0">
      <alignment vertical="bottom" wrapText="1"/>
    </xf>
    <xf numFmtId="49" fontId="0" fillId="6" borderId="21" applyNumberFormat="1" applyFont="1" applyFill="1" applyBorder="1" applyAlignment="1" applyProtection="0">
      <alignment vertical="bottom" wrapText="1"/>
    </xf>
    <xf numFmtId="49" fontId="0" fillId="6" borderId="4" applyNumberFormat="1" applyFont="1" applyFill="1" applyBorder="1" applyAlignment="1" applyProtection="0">
      <alignment vertical="bottom" wrapText="1"/>
    </xf>
    <xf numFmtId="49" fontId="0" fillId="6" borderId="5" applyNumberFormat="1" applyFont="1" applyFill="1" applyBorder="1" applyAlignment="1" applyProtection="0">
      <alignment vertical="bottom" wrapText="1"/>
    </xf>
    <xf numFmtId="49" fontId="0" fillId="6" borderId="22" applyNumberFormat="1" applyFont="1" applyFill="1" applyBorder="1" applyAlignment="1" applyProtection="0">
      <alignment vertical="bottom" wrapText="1"/>
    </xf>
    <xf numFmtId="49" fontId="0" fillId="6" borderId="23" applyNumberFormat="1" applyFont="1" applyFill="1" applyBorder="1" applyAlignment="1" applyProtection="0">
      <alignment vertical="bottom" wrapText="1"/>
    </xf>
    <xf numFmtId="0" fontId="0" borderId="23" applyNumberFormat="0" applyFont="1" applyFill="0" applyBorder="1" applyAlignment="1" applyProtection="0">
      <alignment vertical="bottom"/>
    </xf>
    <xf numFmtId="0" fontId="0" borderId="24"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25" applyNumberFormat="0" applyFont="1" applyFill="0" applyBorder="1" applyAlignment="1" applyProtection="0">
      <alignment vertical="bottom"/>
    </xf>
    <xf numFmtId="0" fontId="0" borderId="26" applyNumberFormat="0" applyFont="1" applyFill="0" applyBorder="1" applyAlignment="1" applyProtection="0">
      <alignment vertical="bottom"/>
    </xf>
    <xf numFmtId="0" fontId="0" borderId="27" applyNumberFormat="0" applyFont="1" applyFill="0" applyBorder="1" applyAlignment="1" applyProtection="0">
      <alignment vertical="bottom"/>
    </xf>
    <xf numFmtId="49" fontId="8" fillId="7" borderId="28" applyNumberFormat="1" applyFont="1" applyFill="1" applyBorder="1" applyAlignment="1" applyProtection="0">
      <alignment vertical="center" wrapText="1"/>
    </xf>
    <xf numFmtId="49" fontId="0" borderId="20" applyNumberFormat="1" applyFont="1" applyFill="0" applyBorder="1" applyAlignment="1" applyProtection="0">
      <alignment vertical="bottom"/>
    </xf>
    <xf numFmtId="1" fontId="0" borderId="21" applyNumberFormat="1" applyFont="1" applyFill="0" applyBorder="1" applyAlignment="1" applyProtection="0">
      <alignment vertical="bottom"/>
    </xf>
    <xf numFmtId="2" fontId="0" borderId="21" applyNumberFormat="1" applyFont="1" applyFill="0" applyBorder="1" applyAlignment="1" applyProtection="0">
      <alignment vertical="bottom"/>
    </xf>
    <xf numFmtId="2" fontId="0" fillId="8" borderId="21" applyNumberFormat="1" applyFont="1" applyFill="1" applyBorder="1" applyAlignment="1" applyProtection="0">
      <alignment vertical="bottom"/>
    </xf>
    <xf numFmtId="0" fontId="0" fillId="8" borderId="29" applyNumberFormat="0" applyFont="1" applyFill="1" applyBorder="1" applyAlignment="1" applyProtection="0">
      <alignment vertical="bottom"/>
    </xf>
    <xf numFmtId="49" fontId="0" borderId="4" applyNumberFormat="1" applyFont="1" applyFill="0" applyBorder="1" applyAlignment="1" applyProtection="0">
      <alignment vertical="bottom"/>
    </xf>
    <xf numFmtId="1" fontId="0" borderId="5" applyNumberFormat="1" applyFont="1" applyFill="0" applyBorder="1" applyAlignment="1" applyProtection="0">
      <alignment vertical="bottom"/>
    </xf>
    <xf numFmtId="2" fontId="0" borderId="5" applyNumberFormat="1" applyFont="1" applyFill="0" applyBorder="1" applyAlignment="1" applyProtection="0">
      <alignment vertical="bottom"/>
    </xf>
    <xf numFmtId="2" fontId="0" fillId="8" borderId="5" applyNumberFormat="1" applyFont="1" applyFill="1" applyBorder="1" applyAlignment="1" applyProtection="0">
      <alignment vertical="bottom"/>
    </xf>
    <xf numFmtId="0" fontId="0" fillId="8" borderId="6" applyNumberFormat="0" applyFont="1" applyFill="1" applyBorder="1" applyAlignment="1" applyProtection="0">
      <alignment vertical="bottom"/>
    </xf>
    <xf numFmtId="49" fontId="0" borderId="22" applyNumberFormat="1" applyFont="1" applyFill="0" applyBorder="1" applyAlignment="1" applyProtection="0">
      <alignment vertical="bottom"/>
    </xf>
    <xf numFmtId="1" fontId="0" borderId="23" applyNumberFormat="1" applyFont="1" applyFill="0" applyBorder="1" applyAlignment="1" applyProtection="0">
      <alignment vertical="bottom"/>
    </xf>
    <xf numFmtId="2" fontId="0" borderId="23" applyNumberFormat="1" applyFont="1" applyFill="0" applyBorder="1" applyAlignment="1" applyProtection="0">
      <alignment vertical="bottom"/>
    </xf>
    <xf numFmtId="2" fontId="0" fillId="8" borderId="23" applyNumberFormat="1" applyFont="1" applyFill="1" applyBorder="1" applyAlignment="1" applyProtection="0">
      <alignment vertical="bottom"/>
    </xf>
    <xf numFmtId="0" fontId="0" fillId="8" borderId="24" applyNumberFormat="0" applyFont="1" applyFill="1" applyBorder="1" applyAlignment="1" applyProtection="0">
      <alignment vertical="bottom"/>
    </xf>
    <xf numFmtId="0" fontId="0" applyNumberFormat="1" applyFont="1" applyFill="0" applyBorder="0" applyAlignment="1" applyProtection="0">
      <alignment vertical="bottom"/>
    </xf>
    <xf numFmtId="59" fontId="0" borderId="21" applyNumberFormat="1" applyFont="1" applyFill="0" applyBorder="1" applyAlignment="1" applyProtection="0">
      <alignment vertical="bottom"/>
    </xf>
    <xf numFmtId="59" fontId="0" fillId="9" borderId="21" applyNumberFormat="1" applyFont="1" applyFill="1" applyBorder="1" applyAlignment="1" applyProtection="0">
      <alignment vertical="bottom"/>
    </xf>
    <xf numFmtId="59" fontId="0" fillId="9" borderId="29" applyNumberFormat="1" applyFont="1" applyFill="1" applyBorder="1" applyAlignment="1" applyProtection="0">
      <alignment vertical="bottom"/>
    </xf>
    <xf numFmtId="59" fontId="0" borderId="5" applyNumberFormat="1" applyFont="1" applyFill="0" applyBorder="1" applyAlignment="1" applyProtection="0">
      <alignment vertical="bottom"/>
    </xf>
    <xf numFmtId="59" fontId="0" fillId="9" borderId="5" applyNumberFormat="1" applyFont="1" applyFill="1" applyBorder="1" applyAlignment="1" applyProtection="0">
      <alignment vertical="bottom"/>
    </xf>
    <xf numFmtId="59" fontId="0" fillId="9" borderId="6" applyNumberFormat="1" applyFont="1" applyFill="1" applyBorder="1" applyAlignment="1" applyProtection="0">
      <alignment vertical="bottom"/>
    </xf>
    <xf numFmtId="59" fontId="0" borderId="23" applyNumberFormat="1" applyFont="1" applyFill="0" applyBorder="1" applyAlignment="1" applyProtection="0">
      <alignment vertical="bottom"/>
    </xf>
    <xf numFmtId="59" fontId="0" fillId="9" borderId="23" applyNumberFormat="1" applyFont="1" applyFill="1" applyBorder="1" applyAlignment="1" applyProtection="0">
      <alignment vertical="bottom"/>
    </xf>
    <xf numFmtId="59" fontId="0" fillId="9" borderId="24" applyNumberFormat="1" applyFont="1" applyFill="1" applyBorder="1" applyAlignment="1" applyProtection="0">
      <alignment vertical="bottom"/>
    </xf>
    <xf numFmtId="0" fontId="0" applyNumberFormat="1" applyFont="1" applyFill="0" applyBorder="0" applyAlignment="1" applyProtection="0">
      <alignment vertical="bottom"/>
    </xf>
    <xf numFmtId="1" fontId="0" borderId="20" applyNumberFormat="1" applyFont="1" applyFill="0" applyBorder="1" applyAlignment="1" applyProtection="0">
      <alignment vertical="bottom"/>
    </xf>
    <xf numFmtId="49" fontId="0" borderId="21" applyNumberFormat="1" applyFont="1" applyFill="0" applyBorder="1" applyAlignment="1" applyProtection="0">
      <alignment vertical="bottom"/>
    </xf>
    <xf numFmtId="49" fontId="0" borderId="29" applyNumberFormat="1" applyFont="1" applyFill="0" applyBorder="1" applyAlignment="1" applyProtection="0">
      <alignment vertical="bottom"/>
    </xf>
    <xf numFmtId="1" fontId="0" borderId="4" applyNumberFormat="1" applyFont="1" applyFill="0" applyBorder="1" applyAlignment="1" applyProtection="0">
      <alignment vertical="bottom"/>
    </xf>
    <xf numFmtId="49" fontId="0" borderId="5" applyNumberFormat="1" applyFont="1" applyFill="0" applyBorder="1" applyAlignment="1" applyProtection="0">
      <alignment vertical="bottom"/>
    </xf>
    <xf numFmtId="49" fontId="0" borderId="6" applyNumberFormat="1" applyFont="1" applyFill="0" applyBorder="1" applyAlignment="1" applyProtection="0">
      <alignment vertical="bottom"/>
    </xf>
    <xf numFmtId="1" fontId="0" borderId="22" applyNumberFormat="1" applyFont="1" applyFill="0" applyBorder="1" applyAlignment="1" applyProtection="0">
      <alignment vertical="bottom"/>
    </xf>
    <xf numFmtId="49" fontId="0" borderId="23" applyNumberFormat="1" applyFont="1" applyFill="0" applyBorder="1" applyAlignment="1" applyProtection="0">
      <alignment vertical="bottom"/>
    </xf>
    <xf numFmtId="49" fontId="0" borderId="24" applyNumberFormat="1" applyFont="1" applyFill="0" applyBorder="1" applyAlignment="1" applyProtection="0">
      <alignment vertical="bottom"/>
    </xf>
    <xf numFmtId="0" fontId="0" applyNumberFormat="1" applyFont="1" applyFill="0" applyBorder="0" applyAlignment="1" applyProtection="0">
      <alignment vertical="bottom"/>
    </xf>
    <xf numFmtId="60" fontId="0" borderId="21" applyNumberFormat="1" applyFont="1" applyFill="0" applyBorder="1" applyAlignment="1" applyProtection="0">
      <alignment vertical="bottom"/>
    </xf>
    <xf numFmtId="60" fontId="0" borderId="29" applyNumberFormat="1" applyFont="1" applyFill="0" applyBorder="1" applyAlignment="1" applyProtection="0">
      <alignment vertical="bottom"/>
    </xf>
    <xf numFmtId="60" fontId="0" borderId="5" applyNumberFormat="1" applyFont="1" applyFill="0" applyBorder="1" applyAlignment="1" applyProtection="0">
      <alignment vertical="bottom"/>
    </xf>
    <xf numFmtId="60" fontId="0" borderId="6" applyNumberFormat="1" applyFont="1" applyFill="0" applyBorder="1" applyAlignment="1" applyProtection="0">
      <alignment vertical="bottom"/>
    </xf>
    <xf numFmtId="60" fontId="0" borderId="23" applyNumberFormat="1" applyFont="1" applyFill="0" applyBorder="1" applyAlignment="1" applyProtection="0">
      <alignment vertical="bottom"/>
    </xf>
    <xf numFmtId="60" fontId="0" borderId="24"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17365d"/>
      <rgbColor rgb="ffaaaaaa"/>
      <rgbColor rgb="ffaab7c4"/>
      <rgbColor rgb="ffd9eaf7"/>
      <rgbColor rgb="ff9eadbc"/>
      <rgbColor rgb="ff2f75b5"/>
      <rgbColor rgb="fffff2cc"/>
      <rgbColor rgb="ffe2f0d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37</v>
      </c>
      <c r="C11" s="3"/>
      <c r="D11" s="3"/>
    </row>
    <row r="12">
      <c r="B12" s="4"/>
      <c r="C12" t="s" s="4">
        <v>5</v>
      </c>
      <c r="D12" t="s" s="5">
        <v>37</v>
      </c>
    </row>
    <row r="13">
      <c r="B13" t="s" s="3">
        <v>79</v>
      </c>
      <c r="C13" s="3"/>
      <c r="D13" s="3"/>
    </row>
    <row r="14">
      <c r="B14" s="4"/>
      <c r="C14" t="s" s="4">
        <v>5</v>
      </c>
      <c r="D14" t="s" s="5">
        <v>79</v>
      </c>
    </row>
    <row r="15">
      <c r="B15" t="s" s="3">
        <v>96</v>
      </c>
      <c r="C15" s="3"/>
      <c r="D15" s="3"/>
    </row>
    <row r="16">
      <c r="B16" s="4"/>
      <c r="C16" t="s" s="4">
        <v>5</v>
      </c>
      <c r="D16" t="s" s="5">
        <v>96</v>
      </c>
    </row>
    <row r="17">
      <c r="B17" t="s" s="3">
        <v>114</v>
      </c>
      <c r="C17" s="3"/>
      <c r="D17" s="3"/>
    </row>
    <row r="18">
      <c r="B18" s="4"/>
      <c r="C18" t="s" s="4">
        <v>5</v>
      </c>
      <c r="D18" t="s" s="5">
        <v>114</v>
      </c>
    </row>
  </sheetData>
  <mergeCells count="1">
    <mergeCell ref="B3:D3"/>
  </mergeCells>
  <hyperlinks>
    <hyperlink ref="D10" location="'Protocol'!R1C1" tooltip="" display="Protocol"/>
    <hyperlink ref="D12" location="'Measurements'!R1C1" tooltip="" display="Measurements"/>
    <hyperlink ref="D14" location="'Analysis'!R1C1" tooltip="" display="Analysis"/>
    <hyperlink ref="D16" location="'Coverage'!R1C1" tooltip="" display="Coverage"/>
    <hyperlink ref="D18" location="'Model'!R1C1" tooltip="" display="Model"/>
  </hyperlinks>
</worksheet>
</file>

<file path=xl/worksheets/sheet2.xml><?xml version="1.0" encoding="utf-8"?>
<worksheet xmlns:r="http://schemas.openxmlformats.org/officeDocument/2006/relationships" xmlns="http://schemas.openxmlformats.org/spreadsheetml/2006/main">
  <dimension ref="A1:H19"/>
  <sheetViews>
    <sheetView workbookViewId="0" showGridLines="0" defaultGridColor="1"/>
  </sheetViews>
  <sheetFormatPr defaultColWidth="8.83333" defaultRowHeight="15" customHeight="1" outlineLevelRow="0" outlineLevelCol="0"/>
  <cols>
    <col min="1" max="1" width="22" style="6" customWidth="1"/>
    <col min="2" max="2" width="96" style="6" customWidth="1"/>
    <col min="3" max="8" width="8.85156" style="6" customWidth="1"/>
    <col min="9" max="16384" width="8.85156" style="6" customWidth="1"/>
  </cols>
  <sheetData>
    <row r="1" ht="28" customHeight="1">
      <c r="A1" t="s" s="7">
        <v>6</v>
      </c>
      <c r="B1" s="8"/>
      <c r="C1" s="8"/>
      <c r="D1" s="8"/>
      <c r="E1" s="8"/>
      <c r="F1" s="8"/>
      <c r="G1" s="8"/>
      <c r="H1" s="9"/>
    </row>
    <row r="2" ht="28" customHeight="1">
      <c r="A2" s="10"/>
      <c r="B2" s="11"/>
      <c r="C2" s="11"/>
      <c r="D2" s="11"/>
      <c r="E2" s="11"/>
      <c r="F2" s="11"/>
      <c r="G2" s="11"/>
      <c r="H2" s="12"/>
    </row>
    <row r="3" ht="13.55" customHeight="1">
      <c r="A3" s="13"/>
      <c r="B3" s="14"/>
      <c r="C3" s="15"/>
      <c r="D3" s="15"/>
      <c r="E3" s="15"/>
      <c r="F3" s="15"/>
      <c r="G3" s="15"/>
      <c r="H3" s="16"/>
    </row>
    <row r="4" ht="13.55" customHeight="1">
      <c r="A4" t="s" s="17">
        <v>7</v>
      </c>
      <c r="B4" t="s" s="18">
        <v>8</v>
      </c>
      <c r="C4" s="19"/>
      <c r="D4" s="15"/>
      <c r="E4" s="15"/>
      <c r="F4" s="15"/>
      <c r="G4" s="15"/>
      <c r="H4" s="16"/>
    </row>
    <row r="5" ht="13.55" customHeight="1">
      <c r="A5" t="s" s="20">
        <v>9</v>
      </c>
      <c r="B5" t="s" s="21">
        <v>10</v>
      </c>
      <c r="C5" s="19"/>
      <c r="D5" s="15"/>
      <c r="E5" s="15"/>
      <c r="F5" s="15"/>
      <c r="G5" s="15"/>
      <c r="H5" s="16"/>
    </row>
    <row r="6" ht="13.55" customHeight="1">
      <c r="A6" t="s" s="20">
        <v>11</v>
      </c>
      <c r="B6" t="s" s="21">
        <v>12</v>
      </c>
      <c r="C6" s="19"/>
      <c r="D6" s="15"/>
      <c r="E6" s="15"/>
      <c r="F6" s="15"/>
      <c r="G6" s="15"/>
      <c r="H6" s="16"/>
    </row>
    <row r="7" ht="13.55" customHeight="1">
      <c r="A7" t="s" s="20">
        <v>13</v>
      </c>
      <c r="B7" t="s" s="21">
        <v>14</v>
      </c>
      <c r="C7" s="19"/>
      <c r="D7" s="15"/>
      <c r="E7" s="15"/>
      <c r="F7" s="15"/>
      <c r="G7" s="15"/>
      <c r="H7" s="16"/>
    </row>
    <row r="8" ht="13.55" customHeight="1">
      <c r="A8" t="s" s="20">
        <v>15</v>
      </c>
      <c r="B8" t="s" s="21">
        <v>16</v>
      </c>
      <c r="C8" s="19"/>
      <c r="D8" s="15"/>
      <c r="E8" s="15"/>
      <c r="F8" s="15"/>
      <c r="G8" s="15"/>
      <c r="H8" s="16"/>
    </row>
    <row r="9" ht="13.55" customHeight="1">
      <c r="A9" t="s" s="20">
        <v>17</v>
      </c>
      <c r="B9" t="s" s="21">
        <v>18</v>
      </c>
      <c r="C9" s="19"/>
      <c r="D9" s="15"/>
      <c r="E9" s="15"/>
      <c r="F9" s="15"/>
      <c r="G9" s="15"/>
      <c r="H9" s="16"/>
    </row>
    <row r="10" ht="13.55" customHeight="1">
      <c r="A10" t="s" s="20">
        <v>19</v>
      </c>
      <c r="B10" t="s" s="21">
        <v>20</v>
      </c>
      <c r="C10" s="19"/>
      <c r="D10" s="15"/>
      <c r="E10" s="15"/>
      <c r="F10" s="15"/>
      <c r="G10" s="15"/>
      <c r="H10" s="16"/>
    </row>
    <row r="11" ht="13.55" customHeight="1">
      <c r="A11" t="s" s="20">
        <v>21</v>
      </c>
      <c r="B11" t="s" s="21">
        <v>22</v>
      </c>
      <c r="C11" s="19"/>
      <c r="D11" s="15"/>
      <c r="E11" s="15"/>
      <c r="F11" s="15"/>
      <c r="G11" s="15"/>
      <c r="H11" s="16"/>
    </row>
    <row r="12" ht="13.55" customHeight="1">
      <c r="A12" t="s" s="20">
        <v>23</v>
      </c>
      <c r="B12" t="s" s="21">
        <v>24</v>
      </c>
      <c r="C12" s="19"/>
      <c r="D12" s="15"/>
      <c r="E12" s="15"/>
      <c r="F12" s="15"/>
      <c r="G12" s="15"/>
      <c r="H12" s="16"/>
    </row>
    <row r="13" ht="13.55" customHeight="1">
      <c r="A13" t="s" s="22">
        <v>25</v>
      </c>
      <c r="B13" t="s" s="23">
        <v>26</v>
      </c>
      <c r="C13" s="19"/>
      <c r="D13" s="15"/>
      <c r="E13" s="15"/>
      <c r="F13" s="15"/>
      <c r="G13" s="15"/>
      <c r="H13" s="16"/>
    </row>
    <row r="14" ht="13.55" customHeight="1">
      <c r="A14" s="24"/>
      <c r="B14" s="25"/>
      <c r="C14" s="15"/>
      <c r="D14" s="15"/>
      <c r="E14" s="15"/>
      <c r="F14" s="15"/>
      <c r="G14" s="15"/>
      <c r="H14" s="16"/>
    </row>
    <row r="15" ht="13.55" customHeight="1">
      <c r="A15" t="s" s="26">
        <v>27</v>
      </c>
      <c r="B15" t="s" s="27">
        <v>28</v>
      </c>
      <c r="C15" s="28"/>
      <c r="D15" s="15"/>
      <c r="E15" s="15"/>
      <c r="F15" s="15"/>
      <c r="G15" s="15"/>
      <c r="H15" s="16"/>
    </row>
    <row r="16" ht="13.55" customHeight="1">
      <c r="A16" t="s" s="29">
        <v>29</v>
      </c>
      <c r="B16" t="s" s="30">
        <v>30</v>
      </c>
      <c r="C16" s="15"/>
      <c r="D16" s="15"/>
      <c r="E16" s="15"/>
      <c r="F16" s="15"/>
      <c r="G16" s="15"/>
      <c r="H16" s="16"/>
    </row>
    <row r="17" ht="13.55" customHeight="1">
      <c r="A17" t="s" s="31">
        <v>31</v>
      </c>
      <c r="B17" t="s" s="32">
        <v>32</v>
      </c>
      <c r="C17" s="15"/>
      <c r="D17" s="15"/>
      <c r="E17" s="15"/>
      <c r="F17" s="15"/>
      <c r="G17" s="15"/>
      <c r="H17" s="16"/>
    </row>
    <row r="18" ht="13.55" customHeight="1">
      <c r="A18" t="s" s="31">
        <v>33</v>
      </c>
      <c r="B18" t="s" s="32">
        <v>34</v>
      </c>
      <c r="C18" s="15"/>
      <c r="D18" s="15"/>
      <c r="E18" s="15"/>
      <c r="F18" s="15"/>
      <c r="G18" s="15"/>
      <c r="H18" s="16"/>
    </row>
    <row r="19" ht="13.55" customHeight="1">
      <c r="A19" t="s" s="33">
        <v>35</v>
      </c>
      <c r="B19" t="s" s="34">
        <v>36</v>
      </c>
      <c r="C19" s="35"/>
      <c r="D19" s="35"/>
      <c r="E19" s="35"/>
      <c r="F19" s="35"/>
      <c r="G19" s="35"/>
      <c r="H19" s="36"/>
    </row>
  </sheetData>
  <mergeCells count="1">
    <mergeCell ref="A1:H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36"/>
  <sheetViews>
    <sheetView workbookViewId="0" showGridLines="0" defaultGridColor="1"/>
  </sheetViews>
  <sheetFormatPr defaultColWidth="8.83333" defaultRowHeight="15" customHeight="1" outlineLevelRow="0" outlineLevelCol="0"/>
  <cols>
    <col min="1" max="1" width="16" style="37" customWidth="1"/>
    <col min="2" max="2" width="9" style="37" customWidth="1"/>
    <col min="3" max="3" width="16" style="37" customWidth="1"/>
    <col min="4" max="4" width="24" style="37" customWidth="1"/>
    <col min="5" max="5" width="20" style="37" customWidth="1"/>
    <col min="6" max="6" width="22" style="37" customWidth="1"/>
    <col min="7" max="7" width="30" style="37" customWidth="1"/>
    <col min="8" max="8" width="42" style="37" customWidth="1"/>
    <col min="9" max="16384" width="8.85156" style="37" customWidth="1"/>
  </cols>
  <sheetData>
    <row r="1" ht="8.5" customHeight="1">
      <c r="A1" t="s" s="7">
        <v>38</v>
      </c>
      <c r="B1" s="8"/>
      <c r="C1" s="8"/>
      <c r="D1" s="8"/>
      <c r="E1" s="8"/>
      <c r="F1" s="8"/>
      <c r="G1" s="8"/>
      <c r="H1" s="9"/>
    </row>
    <row r="2" ht="10.45" customHeight="1">
      <c r="A2" s="10"/>
      <c r="B2" s="11"/>
      <c r="C2" s="11"/>
      <c r="D2" s="11"/>
      <c r="E2" s="11"/>
      <c r="F2" s="11"/>
      <c r="G2" s="11"/>
      <c r="H2" s="12"/>
    </row>
    <row r="3" ht="13.55" customHeight="1">
      <c r="A3" s="38"/>
      <c r="B3" s="39"/>
      <c r="C3" s="39"/>
      <c r="D3" s="39"/>
      <c r="E3" s="39"/>
      <c r="F3" s="39"/>
      <c r="G3" s="39"/>
      <c r="H3" s="40"/>
    </row>
    <row r="4" ht="13.55" customHeight="1">
      <c r="A4" t="s" s="26">
        <v>39</v>
      </c>
      <c r="B4" t="s" s="41">
        <v>40</v>
      </c>
      <c r="C4" t="s" s="41">
        <v>41</v>
      </c>
      <c r="D4" t="s" s="41">
        <v>42</v>
      </c>
      <c r="E4" t="s" s="41">
        <v>43</v>
      </c>
      <c r="F4" t="s" s="41">
        <v>44</v>
      </c>
      <c r="G4" t="s" s="41">
        <v>45</v>
      </c>
      <c r="H4" t="s" s="27">
        <v>46</v>
      </c>
    </row>
    <row r="5" ht="13.55" customHeight="1">
      <c r="A5" t="s" s="42">
        <v>47</v>
      </c>
      <c r="B5" s="43">
        <v>1</v>
      </c>
      <c r="C5" s="43">
        <v>177</v>
      </c>
      <c r="D5" s="44">
        <v>45</v>
      </c>
      <c r="E5" s="44">
        <v>-59.85</v>
      </c>
      <c r="F5" s="45">
        <v>-60.23</v>
      </c>
      <c r="G5" s="45">
        <v>-60.2</v>
      </c>
      <c r="H5" s="46"/>
    </row>
    <row r="6" ht="13.55" customHeight="1">
      <c r="A6" t="s" s="47">
        <v>48</v>
      </c>
      <c r="B6" s="48">
        <v>1</v>
      </c>
      <c r="C6" s="48">
        <v>177</v>
      </c>
      <c r="D6" s="49">
        <v>65</v>
      </c>
      <c r="E6" s="49">
        <v>-39.85</v>
      </c>
      <c r="F6" s="50">
        <v>-40.24</v>
      </c>
      <c r="G6" s="50">
        <v>-41.12</v>
      </c>
      <c r="H6" s="51"/>
    </row>
    <row r="7" ht="13.55" customHeight="1">
      <c r="A7" t="s" s="47">
        <v>49</v>
      </c>
      <c r="B7" s="48">
        <v>1</v>
      </c>
      <c r="C7" s="48">
        <v>177</v>
      </c>
      <c r="D7" s="49">
        <v>85</v>
      </c>
      <c r="E7" s="49">
        <v>-19.85</v>
      </c>
      <c r="F7" s="50">
        <v>-20.24</v>
      </c>
      <c r="G7" s="50">
        <v>-24.06</v>
      </c>
      <c r="H7" s="51"/>
    </row>
    <row r="8" ht="13.55" customHeight="1">
      <c r="A8" t="s" s="47">
        <v>50</v>
      </c>
      <c r="B8" s="48">
        <v>1</v>
      </c>
      <c r="C8" s="48">
        <v>177</v>
      </c>
      <c r="D8" s="49">
        <v>95</v>
      </c>
      <c r="E8" s="49">
        <v>-9.85</v>
      </c>
      <c r="F8" s="50">
        <v>-10.24</v>
      </c>
      <c r="G8" s="50">
        <v>-15.45</v>
      </c>
      <c r="H8" s="51"/>
    </row>
    <row r="9" ht="13.55" customHeight="1">
      <c r="A9" t="s" s="47">
        <v>51</v>
      </c>
      <c r="B9" s="48">
        <v>2</v>
      </c>
      <c r="C9" s="48">
        <v>297</v>
      </c>
      <c r="D9" s="49">
        <v>45</v>
      </c>
      <c r="E9" s="49">
        <v>-59.85</v>
      </c>
      <c r="F9" s="50">
        <v>-60.24</v>
      </c>
      <c r="G9" s="50">
        <v>-57.24</v>
      </c>
      <c r="H9" s="51"/>
    </row>
    <row r="10" ht="13.55" customHeight="1">
      <c r="A10" t="s" s="47">
        <v>52</v>
      </c>
      <c r="B10" s="48">
        <v>2</v>
      </c>
      <c r="C10" s="48">
        <v>297</v>
      </c>
      <c r="D10" s="49">
        <v>65</v>
      </c>
      <c r="E10" s="49">
        <v>-39.85</v>
      </c>
      <c r="F10" s="50">
        <v>-40.25</v>
      </c>
      <c r="G10" s="50">
        <v>-40.3</v>
      </c>
      <c r="H10" s="51"/>
    </row>
    <row r="11" ht="13.55" customHeight="1">
      <c r="A11" t="s" s="47">
        <v>53</v>
      </c>
      <c r="B11" s="48">
        <v>2</v>
      </c>
      <c r="C11" s="48">
        <v>297</v>
      </c>
      <c r="D11" s="49">
        <v>85</v>
      </c>
      <c r="E11" s="49">
        <v>-19.85</v>
      </c>
      <c r="F11" s="50">
        <v>-20.25</v>
      </c>
      <c r="G11" s="50">
        <v>-22.63</v>
      </c>
      <c r="H11" s="51"/>
    </row>
    <row r="12" ht="13.55" customHeight="1">
      <c r="A12" t="s" s="47">
        <v>54</v>
      </c>
      <c r="B12" s="48">
        <v>2</v>
      </c>
      <c r="C12" s="48">
        <v>297</v>
      </c>
      <c r="D12" s="49">
        <v>95</v>
      </c>
      <c r="E12" s="49">
        <v>-9.85</v>
      </c>
      <c r="F12" s="50">
        <v>-10.25</v>
      </c>
      <c r="G12" s="50">
        <v>-13.56</v>
      </c>
      <c r="H12" s="51"/>
    </row>
    <row r="13" ht="13.55" customHeight="1">
      <c r="A13" t="s" s="47">
        <v>55</v>
      </c>
      <c r="B13" s="48">
        <v>3</v>
      </c>
      <c r="C13" s="48">
        <v>500</v>
      </c>
      <c r="D13" s="49">
        <v>45</v>
      </c>
      <c r="E13" s="49">
        <v>-59.85</v>
      </c>
      <c r="F13" s="50">
        <v>-60.25</v>
      </c>
      <c r="G13" s="50">
        <v>-57.3</v>
      </c>
      <c r="H13" s="51"/>
    </row>
    <row r="14" ht="13.55" customHeight="1">
      <c r="A14" t="s" s="47">
        <v>56</v>
      </c>
      <c r="B14" s="48">
        <v>3</v>
      </c>
      <c r="C14" s="48">
        <v>500</v>
      </c>
      <c r="D14" s="49">
        <v>65</v>
      </c>
      <c r="E14" s="49">
        <v>-39.85</v>
      </c>
      <c r="F14" s="50">
        <v>-40.25</v>
      </c>
      <c r="G14" s="50">
        <v>-40.24</v>
      </c>
      <c r="H14" s="51"/>
    </row>
    <row r="15" ht="13.55" customHeight="1">
      <c r="A15" t="s" s="47">
        <v>57</v>
      </c>
      <c r="B15" s="48">
        <v>3</v>
      </c>
      <c r="C15" s="48">
        <v>500</v>
      </c>
      <c r="D15" s="49">
        <v>85</v>
      </c>
      <c r="E15" s="49">
        <v>-19.85</v>
      </c>
      <c r="F15" s="50">
        <v>-20.25</v>
      </c>
      <c r="G15" s="50">
        <v>-22.49</v>
      </c>
      <c r="H15" s="51"/>
    </row>
    <row r="16" ht="13.55" customHeight="1">
      <c r="A16" t="s" s="47">
        <v>58</v>
      </c>
      <c r="B16" s="48">
        <v>3</v>
      </c>
      <c r="C16" s="48">
        <v>500</v>
      </c>
      <c r="D16" s="49">
        <v>95</v>
      </c>
      <c r="E16" s="49">
        <v>-9.85</v>
      </c>
      <c r="F16" s="50">
        <v>-10.25</v>
      </c>
      <c r="G16" s="50">
        <v>-13.36</v>
      </c>
      <c r="H16" s="51"/>
    </row>
    <row r="17" ht="13.55" customHeight="1">
      <c r="A17" t="s" s="47">
        <v>59</v>
      </c>
      <c r="B17" s="48">
        <v>4</v>
      </c>
      <c r="C17" s="48">
        <v>841</v>
      </c>
      <c r="D17" s="49">
        <v>45</v>
      </c>
      <c r="E17" s="49">
        <v>-59.85</v>
      </c>
      <c r="F17" s="50">
        <v>-60.25</v>
      </c>
      <c r="G17" s="50">
        <v>-57.31</v>
      </c>
      <c r="H17" s="51"/>
    </row>
    <row r="18" ht="13.55" customHeight="1">
      <c r="A18" t="s" s="47">
        <v>60</v>
      </c>
      <c r="B18" s="48">
        <v>4</v>
      </c>
      <c r="C18" s="48">
        <v>841</v>
      </c>
      <c r="D18" s="49">
        <v>65</v>
      </c>
      <c r="E18" s="49">
        <v>-39.85</v>
      </c>
      <c r="F18" s="50">
        <v>-40.25</v>
      </c>
      <c r="G18" s="50">
        <v>-40.23</v>
      </c>
      <c r="H18" s="51"/>
    </row>
    <row r="19" ht="13.55" customHeight="1">
      <c r="A19" t="s" s="47">
        <v>61</v>
      </c>
      <c r="B19" s="48">
        <v>4</v>
      </c>
      <c r="C19" s="48">
        <v>841</v>
      </c>
      <c r="D19" s="49">
        <v>85</v>
      </c>
      <c r="E19" s="49">
        <v>-19.85</v>
      </c>
      <c r="F19" s="50">
        <v>-20.25</v>
      </c>
      <c r="G19" s="50">
        <v>-22.47</v>
      </c>
      <c r="H19" s="51"/>
    </row>
    <row r="20" ht="13.55" customHeight="1">
      <c r="A20" t="s" s="47">
        <v>62</v>
      </c>
      <c r="B20" s="48">
        <v>4</v>
      </c>
      <c r="C20" s="48">
        <v>841</v>
      </c>
      <c r="D20" s="49">
        <v>95</v>
      </c>
      <c r="E20" s="49">
        <v>-9.85</v>
      </c>
      <c r="F20" s="50">
        <v>-10.25</v>
      </c>
      <c r="G20" s="50">
        <v>-13.34</v>
      </c>
      <c r="H20" s="51"/>
    </row>
    <row r="21" ht="13.55" customHeight="1">
      <c r="A21" t="s" s="47">
        <v>63</v>
      </c>
      <c r="B21" s="48">
        <v>5</v>
      </c>
      <c r="C21" s="48">
        <v>1414</v>
      </c>
      <c r="D21" s="49">
        <v>45</v>
      </c>
      <c r="E21" s="49">
        <v>-59.85</v>
      </c>
      <c r="F21" s="50">
        <v>-60.25</v>
      </c>
      <c r="G21" s="50">
        <v>-57.31</v>
      </c>
      <c r="H21" s="51"/>
    </row>
    <row r="22" ht="13.55" customHeight="1">
      <c r="A22" t="s" s="47">
        <v>64</v>
      </c>
      <c r="B22" s="48">
        <v>5</v>
      </c>
      <c r="C22" s="48">
        <v>1414</v>
      </c>
      <c r="D22" s="49">
        <v>65</v>
      </c>
      <c r="E22" s="49">
        <v>-39.85</v>
      </c>
      <c r="F22" s="50">
        <v>-40.25</v>
      </c>
      <c r="G22" s="50">
        <v>-40.23</v>
      </c>
      <c r="H22" s="51"/>
    </row>
    <row r="23" ht="13.55" customHeight="1">
      <c r="A23" t="s" s="47">
        <v>65</v>
      </c>
      <c r="B23" s="48">
        <v>5</v>
      </c>
      <c r="C23" s="48">
        <v>1414</v>
      </c>
      <c r="D23" s="49">
        <v>85</v>
      </c>
      <c r="E23" s="49">
        <v>-19.85</v>
      </c>
      <c r="F23" s="50">
        <v>-20.25</v>
      </c>
      <c r="G23" s="50">
        <v>-22.48</v>
      </c>
      <c r="H23" s="51"/>
    </row>
    <row r="24" ht="13.55" customHeight="1">
      <c r="A24" t="s" s="47">
        <v>66</v>
      </c>
      <c r="B24" s="48">
        <v>5</v>
      </c>
      <c r="C24" s="48">
        <v>1414</v>
      </c>
      <c r="D24" s="49">
        <v>95</v>
      </c>
      <c r="E24" s="49">
        <v>-9.85</v>
      </c>
      <c r="F24" s="50">
        <v>-10.25</v>
      </c>
      <c r="G24" s="50">
        <v>-13.34</v>
      </c>
      <c r="H24" s="51"/>
    </row>
    <row r="25" ht="13.55" customHeight="1">
      <c r="A25" t="s" s="47">
        <v>67</v>
      </c>
      <c r="B25" s="48">
        <v>6</v>
      </c>
      <c r="C25" s="48">
        <v>2378</v>
      </c>
      <c r="D25" s="49">
        <v>45</v>
      </c>
      <c r="E25" s="49">
        <v>-59.85</v>
      </c>
      <c r="F25" s="50">
        <v>-60.25</v>
      </c>
      <c r="G25" s="50">
        <v>-57.31</v>
      </c>
      <c r="H25" s="51"/>
    </row>
    <row r="26" ht="13.55" customHeight="1">
      <c r="A26" t="s" s="47">
        <v>68</v>
      </c>
      <c r="B26" s="48">
        <v>6</v>
      </c>
      <c r="C26" s="48">
        <v>2378</v>
      </c>
      <c r="D26" s="49">
        <v>65</v>
      </c>
      <c r="E26" s="49">
        <v>-39.85</v>
      </c>
      <c r="F26" s="50">
        <v>-40.26</v>
      </c>
      <c r="G26" s="50">
        <v>-40.24</v>
      </c>
      <c r="H26" s="51"/>
    </row>
    <row r="27" ht="13.55" customHeight="1">
      <c r="A27" t="s" s="47">
        <v>69</v>
      </c>
      <c r="B27" s="48">
        <v>6</v>
      </c>
      <c r="C27" s="48">
        <v>2378</v>
      </c>
      <c r="D27" s="49">
        <v>85</v>
      </c>
      <c r="E27" s="49">
        <v>-19.85</v>
      </c>
      <c r="F27" s="50">
        <v>-20.25</v>
      </c>
      <c r="G27" s="50">
        <v>-22.5</v>
      </c>
      <c r="H27" s="51"/>
    </row>
    <row r="28" ht="13.55" customHeight="1">
      <c r="A28" t="s" s="47">
        <v>70</v>
      </c>
      <c r="B28" s="48">
        <v>6</v>
      </c>
      <c r="C28" s="48">
        <v>2378</v>
      </c>
      <c r="D28" s="49">
        <v>95</v>
      </c>
      <c r="E28" s="49">
        <v>-9.85</v>
      </c>
      <c r="F28" s="50">
        <v>-10.25</v>
      </c>
      <c r="G28" s="50">
        <v>-13.38</v>
      </c>
      <c r="H28" s="51"/>
    </row>
    <row r="29" ht="13.55" customHeight="1">
      <c r="A29" t="s" s="47">
        <v>71</v>
      </c>
      <c r="B29" s="48">
        <v>7</v>
      </c>
      <c r="C29" s="48">
        <v>4000</v>
      </c>
      <c r="D29" s="49">
        <v>45</v>
      </c>
      <c r="E29" s="49">
        <v>-59.85</v>
      </c>
      <c r="F29" s="50">
        <v>-60.26</v>
      </c>
      <c r="G29" s="50">
        <v>-57.27</v>
      </c>
      <c r="H29" s="51"/>
    </row>
    <row r="30" ht="13.55" customHeight="1">
      <c r="A30" t="s" s="47">
        <v>72</v>
      </c>
      <c r="B30" s="48">
        <v>7</v>
      </c>
      <c r="C30" s="48">
        <v>4000</v>
      </c>
      <c r="D30" s="49">
        <v>65</v>
      </c>
      <c r="E30" s="49">
        <v>-39.85</v>
      </c>
      <c r="F30" s="50">
        <v>-40.26</v>
      </c>
      <c r="G30" s="50">
        <v>-40.26</v>
      </c>
      <c r="H30" s="51"/>
    </row>
    <row r="31" ht="13.55" customHeight="1">
      <c r="A31" t="s" s="47">
        <v>73</v>
      </c>
      <c r="B31" s="48">
        <v>7</v>
      </c>
      <c r="C31" s="48">
        <v>4000</v>
      </c>
      <c r="D31" s="49">
        <v>85</v>
      </c>
      <c r="E31" s="49">
        <v>-19.85</v>
      </c>
      <c r="F31" s="50">
        <v>-20.26</v>
      </c>
      <c r="G31" s="50">
        <v>-22.57</v>
      </c>
      <c r="H31" s="51"/>
    </row>
    <row r="32" ht="13.55" customHeight="1">
      <c r="A32" t="s" s="47">
        <v>74</v>
      </c>
      <c r="B32" s="48">
        <v>7</v>
      </c>
      <c r="C32" s="48">
        <v>4000</v>
      </c>
      <c r="D32" s="49">
        <v>95</v>
      </c>
      <c r="E32" s="49">
        <v>-9.85</v>
      </c>
      <c r="F32" s="50">
        <v>-10.26</v>
      </c>
      <c r="G32" s="50">
        <v>-13.47</v>
      </c>
      <c r="H32" s="51"/>
    </row>
    <row r="33" ht="13.55" customHeight="1">
      <c r="A33" t="s" s="47">
        <v>75</v>
      </c>
      <c r="B33" s="48">
        <v>8</v>
      </c>
      <c r="C33" s="48">
        <v>6727</v>
      </c>
      <c r="D33" s="49">
        <v>45</v>
      </c>
      <c r="E33" s="49">
        <v>-59.85</v>
      </c>
      <c r="F33" s="50">
        <v>-60.27</v>
      </c>
      <c r="G33" s="50">
        <v>-57.22</v>
      </c>
      <c r="H33" s="51"/>
    </row>
    <row r="34" ht="13.55" customHeight="1">
      <c r="A34" t="s" s="47">
        <v>76</v>
      </c>
      <c r="B34" s="48">
        <v>8</v>
      </c>
      <c r="C34" s="48">
        <v>6727</v>
      </c>
      <c r="D34" s="49">
        <v>65</v>
      </c>
      <c r="E34" s="49">
        <v>-39.85</v>
      </c>
      <c r="F34" s="50">
        <v>-40.27</v>
      </c>
      <c r="G34" s="50">
        <v>-40.37</v>
      </c>
      <c r="H34" s="51"/>
    </row>
    <row r="35" ht="13.55" customHeight="1">
      <c r="A35" t="s" s="47">
        <v>77</v>
      </c>
      <c r="B35" s="48">
        <v>8</v>
      </c>
      <c r="C35" s="48">
        <v>6727</v>
      </c>
      <c r="D35" s="49">
        <v>85</v>
      </c>
      <c r="E35" s="49">
        <v>-19.85</v>
      </c>
      <c r="F35" s="50">
        <v>-20.27</v>
      </c>
      <c r="G35" s="50">
        <v>-22.79</v>
      </c>
      <c r="H35" s="51"/>
    </row>
    <row r="36" ht="13.55" customHeight="1">
      <c r="A36" t="s" s="52">
        <v>78</v>
      </c>
      <c r="B36" s="53">
        <v>8</v>
      </c>
      <c r="C36" s="53">
        <v>6727</v>
      </c>
      <c r="D36" s="54">
        <v>95</v>
      </c>
      <c r="E36" s="54">
        <v>-9.85</v>
      </c>
      <c r="F36" s="55">
        <v>-10.27</v>
      </c>
      <c r="G36" s="55">
        <v>-13.77</v>
      </c>
      <c r="H36" s="56"/>
    </row>
  </sheetData>
  <mergeCells count="1">
    <mergeCell ref="A1:H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R36"/>
  <sheetViews>
    <sheetView workbookViewId="0" showGridLines="0" defaultGridColor="1"/>
  </sheetViews>
  <sheetFormatPr defaultColWidth="8.83333" defaultRowHeight="15" customHeight="1" outlineLevelRow="0" outlineLevelCol="0"/>
  <cols>
    <col min="1" max="1" width="15" style="57" customWidth="1"/>
    <col min="2" max="18" width="16" style="57" customWidth="1"/>
    <col min="19" max="16384" width="8.85156" style="57" customWidth="1"/>
  </cols>
  <sheetData>
    <row r="1" ht="8.5" customHeight="1">
      <c r="A1" t="s" s="7">
        <v>80</v>
      </c>
      <c r="B1" s="8"/>
      <c r="C1" s="8"/>
      <c r="D1" s="8"/>
      <c r="E1" s="8"/>
      <c r="F1" s="8"/>
      <c r="G1" s="8"/>
      <c r="H1" s="8"/>
      <c r="I1" s="8"/>
      <c r="J1" s="8"/>
      <c r="K1" s="8"/>
      <c r="L1" s="8"/>
      <c r="M1" s="8"/>
      <c r="N1" s="8"/>
      <c r="O1" s="8"/>
      <c r="P1" s="8"/>
      <c r="Q1" s="8"/>
      <c r="R1" s="9"/>
    </row>
    <row r="2" ht="10.45" customHeight="1">
      <c r="A2" s="10"/>
      <c r="B2" s="11"/>
      <c r="C2" s="11"/>
      <c r="D2" s="11"/>
      <c r="E2" s="11"/>
      <c r="F2" s="11"/>
      <c r="G2" s="11"/>
      <c r="H2" s="11"/>
      <c r="I2" s="11"/>
      <c r="J2" s="11"/>
      <c r="K2" s="11"/>
      <c r="L2" s="11"/>
      <c r="M2" s="11"/>
      <c r="N2" s="11"/>
      <c r="O2" s="11"/>
      <c r="P2" s="11"/>
      <c r="Q2" s="11"/>
      <c r="R2" s="12"/>
    </row>
    <row r="3" ht="13.55" customHeight="1">
      <c r="A3" s="38"/>
      <c r="B3" s="39"/>
      <c r="C3" s="39"/>
      <c r="D3" s="39"/>
      <c r="E3" s="39"/>
      <c r="F3" s="39"/>
      <c r="G3" s="39"/>
      <c r="H3" s="39"/>
      <c r="I3" s="39"/>
      <c r="J3" s="39"/>
      <c r="K3" s="39"/>
      <c r="L3" s="39"/>
      <c r="M3" s="39"/>
      <c r="N3" s="39"/>
      <c r="O3" s="39"/>
      <c r="P3" s="39"/>
      <c r="Q3" s="39"/>
      <c r="R3" s="40"/>
    </row>
    <row r="4" ht="26.55" customHeight="1">
      <c r="A4" t="s" s="26">
        <v>39</v>
      </c>
      <c r="B4" t="s" s="41">
        <v>40</v>
      </c>
      <c r="C4" t="s" s="41">
        <v>41</v>
      </c>
      <c r="D4" t="s" s="41">
        <v>81</v>
      </c>
      <c r="E4" t="s" s="41">
        <v>82</v>
      </c>
      <c r="F4" t="s" s="41">
        <v>83</v>
      </c>
      <c r="G4" t="s" s="41">
        <v>84</v>
      </c>
      <c r="H4" t="s" s="41">
        <v>85</v>
      </c>
      <c r="I4" t="s" s="41">
        <v>86</v>
      </c>
      <c r="J4" t="s" s="41">
        <v>87</v>
      </c>
      <c r="K4" t="s" s="41">
        <v>88</v>
      </c>
      <c r="L4" t="s" s="41">
        <v>89</v>
      </c>
      <c r="M4" t="s" s="41">
        <v>90</v>
      </c>
      <c r="N4" t="s" s="41">
        <v>91</v>
      </c>
      <c r="O4" t="s" s="41">
        <v>92</v>
      </c>
      <c r="P4" t="s" s="41">
        <v>93</v>
      </c>
      <c r="Q4" t="s" s="41">
        <v>94</v>
      </c>
      <c r="R4" t="s" s="27">
        <v>95</v>
      </c>
    </row>
    <row r="5" ht="13.55" customHeight="1">
      <c r="A5" t="s" s="42">
        <f>'Measurements'!A5</f>
        <v>47</v>
      </c>
      <c r="B5" s="43">
        <f>'Measurements'!B5</f>
        <v>1</v>
      </c>
      <c r="C5" s="43">
        <f>'Measurements'!C5</f>
        <v>177</v>
      </c>
      <c r="D5" s="58">
        <f>'Measurements'!D5</f>
        <v>45</v>
      </c>
      <c r="E5" s="58">
        <f>'Measurements'!E5</f>
        <v>-59.85</v>
      </c>
      <c r="F5" s="58">
        <f>IF('Measurements'!F5="","",'Measurements'!F5)</f>
        <v>-60.23</v>
      </c>
      <c r="G5" s="58">
        <f>IF('Measurements'!G5="","",'Measurements'!G5)</f>
        <v>-60.2</v>
      </c>
      <c r="H5" s="59">
        <f>IF(COUNT(F5:G5)=2,G5-F5,"")</f>
        <v>0.03</v>
      </c>
      <c r="I5" s="59">
        <f>IF(H5="","",POWER(10,H5/20))</f>
        <v>1.00345984914784</v>
      </c>
      <c r="J5" s="59">
        <f>'Model'!G5</f>
        <v>0.544690311231348</v>
      </c>
      <c r="K5" s="59">
        <f>'Model'!H5</f>
        <v>0.386725067558679</v>
      </c>
      <c r="L5" s="59">
        <f>'Model'!I5</f>
        <v>0.0686499668285995</v>
      </c>
      <c r="M5" s="59">
        <f>'Model'!J5</f>
        <v>1.00006534561863</v>
      </c>
      <c r="N5" s="59">
        <f>IF(I5="","",L5-POWER(I5,2)*M5)</f>
        <v>-0.938347500596025</v>
      </c>
      <c r="O5" s="59">
        <f>IF(N5="","",POWER(K5,2)-4*J5*N5)</f>
        <v>2.19399144644949</v>
      </c>
      <c r="P5" s="59">
        <f>IF(O5="","",(-K5+SQRT(O5))/(2*J5))</f>
        <v>1.00468811307277</v>
      </c>
      <c r="Q5" s="59">
        <f>IF(P5="","",20*LOG10(P5))</f>
        <v>0.0406252790426382</v>
      </c>
      <c r="R5" s="60">
        <f>IF(Q5="","",-4*(Q5+10))</f>
        <v>-40.1625011161706</v>
      </c>
    </row>
    <row r="6" ht="13.55" customHeight="1">
      <c r="A6" t="s" s="47">
        <f>'Measurements'!A6</f>
        <v>48</v>
      </c>
      <c r="B6" s="48">
        <f>'Measurements'!B6</f>
        <v>1</v>
      </c>
      <c r="C6" s="48">
        <f>'Measurements'!C6</f>
        <v>177</v>
      </c>
      <c r="D6" s="61">
        <f>'Measurements'!D6</f>
        <v>65</v>
      </c>
      <c r="E6" s="61">
        <f>'Measurements'!E6</f>
        <v>-39.85</v>
      </c>
      <c r="F6" s="61">
        <f>IF('Measurements'!F6="","",'Measurements'!F6)</f>
        <v>-40.24</v>
      </c>
      <c r="G6" s="61">
        <f>IF('Measurements'!G6="","",'Measurements'!G6)</f>
        <v>-41.12</v>
      </c>
      <c r="H6" s="62">
        <f>IF(COUNT(F6:G6)=2,G6-F6,"")</f>
        <v>-0.88</v>
      </c>
      <c r="I6" s="62">
        <f>IF(H6="","",POWER(10,H6/20))</f>
        <v>0.903649473722301</v>
      </c>
      <c r="J6" s="62">
        <f>'Model'!G5</f>
        <v>0.544690311231348</v>
      </c>
      <c r="K6" s="62">
        <f>'Model'!H5</f>
        <v>0.386725067558679</v>
      </c>
      <c r="L6" s="62">
        <f>'Model'!I5</f>
        <v>0.0686499668285995</v>
      </c>
      <c r="M6" s="62">
        <f>'Model'!J5</f>
        <v>1.00006534561863</v>
      </c>
      <c r="N6" s="62">
        <f>IF(I6="","",L6-POWER(I6,2)*M6)</f>
        <v>-0.747985764610211</v>
      </c>
      <c r="O6" s="62">
        <f>IF(N6="","",POWER(K6,2)-4*J6*N6)</f>
        <v>1.77923867356688</v>
      </c>
      <c r="P6" s="62">
        <f>IF(O6="","",(-K6+SQRT(O6))/(2*J6))</f>
        <v>0.86944449870426</v>
      </c>
      <c r="Q6" s="62">
        <f>IF(P6="","",20*LOG10(P6))</f>
        <v>-1.21516272235252</v>
      </c>
      <c r="R6" s="63">
        <f>IF(Q6="","",-4*(Q6+10))</f>
        <v>-35.1393491105899</v>
      </c>
    </row>
    <row r="7" ht="13.55" customHeight="1">
      <c r="A7" t="s" s="47">
        <f>'Measurements'!A7</f>
        <v>49</v>
      </c>
      <c r="B7" s="48">
        <f>'Measurements'!B7</f>
        <v>1</v>
      </c>
      <c r="C7" s="48">
        <f>'Measurements'!C7</f>
        <v>177</v>
      </c>
      <c r="D7" s="61">
        <f>'Measurements'!D7</f>
        <v>85</v>
      </c>
      <c r="E7" s="61">
        <f>'Measurements'!E7</f>
        <v>-19.85</v>
      </c>
      <c r="F7" s="61">
        <f>IF('Measurements'!F7="","",'Measurements'!F7)</f>
        <v>-20.24</v>
      </c>
      <c r="G7" s="61">
        <f>IF('Measurements'!G7="","",'Measurements'!G7)</f>
        <v>-24.06</v>
      </c>
      <c r="H7" s="62">
        <f>IF(COUNT(F7:G7)=2,G7-F7,"")</f>
        <v>-3.82</v>
      </c>
      <c r="I7" s="62">
        <f>IF(H7="","",POWER(10,H7/20))</f>
        <v>0.6441692655151769</v>
      </c>
      <c r="J7" s="62">
        <f>'Model'!G5</f>
        <v>0.544690311231348</v>
      </c>
      <c r="K7" s="62">
        <f>'Model'!H5</f>
        <v>0.386725067558679</v>
      </c>
      <c r="L7" s="62">
        <f>'Model'!I5</f>
        <v>0.0686499668285995</v>
      </c>
      <c r="M7" s="62">
        <f>'Model'!J5</f>
        <v>1.00006534561863</v>
      </c>
      <c r="N7" s="62">
        <f>IF(I7="","",L7-POWER(I7,2)*M7)</f>
        <v>-0.346331191234382</v>
      </c>
      <c r="O7" s="62">
        <f>IF(N7="","",POWER(K7,2)-4*J7*N7)</f>
        <v>0.904129255248581</v>
      </c>
      <c r="P7" s="62">
        <f>IF(O7="","",(-K7+SQRT(O7))/(2*J7))</f>
        <v>0.517846597336734</v>
      </c>
      <c r="Q7" s="62">
        <f>IF(P7="","",20*LOG10(P7))</f>
        <v>-5.71597746134865</v>
      </c>
      <c r="R7" s="63">
        <f>IF(Q7="","",-4*(Q7+10))</f>
        <v>-17.1360901546054</v>
      </c>
    </row>
    <row r="8" ht="13.55" customHeight="1">
      <c r="A8" t="s" s="47">
        <f>'Measurements'!A8</f>
        <v>50</v>
      </c>
      <c r="B8" s="48">
        <f>'Measurements'!B8</f>
        <v>1</v>
      </c>
      <c r="C8" s="48">
        <f>'Measurements'!C8</f>
        <v>177</v>
      </c>
      <c r="D8" s="61">
        <f>'Measurements'!D8</f>
        <v>95</v>
      </c>
      <c r="E8" s="61">
        <f>'Measurements'!E8</f>
        <v>-9.85</v>
      </c>
      <c r="F8" s="61">
        <f>IF('Measurements'!F8="","",'Measurements'!F8)</f>
        <v>-10.24</v>
      </c>
      <c r="G8" s="61">
        <f>IF('Measurements'!G8="","",'Measurements'!G8)</f>
        <v>-15.45</v>
      </c>
      <c r="H8" s="62">
        <f>IF(COUNT(F8:G8)=2,G8-F8,"")</f>
        <v>-5.21</v>
      </c>
      <c r="I8" s="62">
        <f>IF(H8="","",POWER(10,H8/20))</f>
        <v>0.548908555607045</v>
      </c>
      <c r="J8" s="62">
        <f>'Model'!G5</f>
        <v>0.544690311231348</v>
      </c>
      <c r="K8" s="62">
        <f>'Model'!H5</f>
        <v>0.386725067558679</v>
      </c>
      <c r="L8" s="62">
        <f>'Model'!I5</f>
        <v>0.0686499668285995</v>
      </c>
      <c r="M8" s="62">
        <f>'Model'!J5</f>
        <v>1.00006534561863</v>
      </c>
      <c r="N8" s="62">
        <f>IF(I8="","",L8-POWER(I8,2)*M8)</f>
        <v>-0.232670324264272</v>
      </c>
      <c r="O8" s="62">
        <f>IF(N8="","",POWER(K8,2)-4*J8*N8)</f>
        <v>0.656489363229485</v>
      </c>
      <c r="P8" s="62">
        <f>IF(O8="","",(-K8+SQRT(O8))/(2*J8))</f>
        <v>0.388767007355391</v>
      </c>
      <c r="Q8" s="62">
        <f>IF(P8="","",20*LOG10(P8))</f>
        <v>-8.20621197015568</v>
      </c>
      <c r="R8" s="63">
        <f>IF(Q8="","",-4*(Q8+10))</f>
        <v>-7.17515211937728</v>
      </c>
    </row>
    <row r="9" ht="13.55" customHeight="1">
      <c r="A9" t="s" s="47">
        <f>'Measurements'!A9</f>
        <v>51</v>
      </c>
      <c r="B9" s="48">
        <f>'Measurements'!B9</f>
        <v>2</v>
      </c>
      <c r="C9" s="48">
        <f>'Measurements'!C9</f>
        <v>297</v>
      </c>
      <c r="D9" s="61">
        <f>'Measurements'!D9</f>
        <v>45</v>
      </c>
      <c r="E9" s="61">
        <f>'Measurements'!E9</f>
        <v>-59.85</v>
      </c>
      <c r="F9" s="61">
        <f>IF('Measurements'!F9="","",'Measurements'!F9)</f>
        <v>-60.24</v>
      </c>
      <c r="G9" s="61">
        <f>IF('Measurements'!G9="","",'Measurements'!G9)</f>
        <v>-57.24</v>
      </c>
      <c r="H9" s="62">
        <f>IF(COUNT(F9:G9)=2,G9-F9,"")</f>
        <v>3</v>
      </c>
      <c r="I9" s="62">
        <f>IF(H9="","",POWER(10,H9/20))</f>
        <v>1.41253754462275</v>
      </c>
      <c r="J9" s="62">
        <f>'Model'!G6</f>
        <v>0.297677644665851</v>
      </c>
      <c r="K9" s="62">
        <f>'Model'!H6</f>
        <v>0.495902170909175</v>
      </c>
      <c r="L9" s="62">
        <f>'Model'!I6</f>
        <v>0.20653132332985</v>
      </c>
      <c r="M9" s="62">
        <f>'Model'!J6</f>
        <v>1.00011113890488</v>
      </c>
      <c r="N9" s="62">
        <f>IF(I9="","",L9-POWER(I9,2)*M9)</f>
        <v>-1.78895274290765</v>
      </c>
      <c r="O9" s="62">
        <f>IF(N9="","",POWER(K9,2)-4*J9*N9)</f>
        <v>2.37604391882148</v>
      </c>
      <c r="P9" s="62">
        <f>IF(O9="","",(-K9+SQRT(O9))/(2*J9))</f>
        <v>1.75616141041905</v>
      </c>
      <c r="Q9" s="62">
        <f>IF(P9="","",20*LOG10(P9))</f>
        <v>4.89128859623942</v>
      </c>
      <c r="R9" s="63">
        <f>IF(Q9="","",-4*(Q9+10))</f>
        <v>-59.5651543849577</v>
      </c>
    </row>
    <row r="10" ht="13.55" customHeight="1">
      <c r="A10" t="s" s="47">
        <f>'Measurements'!A10</f>
        <v>52</v>
      </c>
      <c r="B10" s="48">
        <f>'Measurements'!B10</f>
        <v>2</v>
      </c>
      <c r="C10" s="48">
        <f>'Measurements'!C10</f>
        <v>297</v>
      </c>
      <c r="D10" s="61">
        <f>'Measurements'!D10</f>
        <v>65</v>
      </c>
      <c r="E10" s="61">
        <f>'Measurements'!E10</f>
        <v>-39.85</v>
      </c>
      <c r="F10" s="61">
        <f>IF('Measurements'!F10="","",'Measurements'!F10)</f>
        <v>-40.25</v>
      </c>
      <c r="G10" s="61">
        <f>IF('Measurements'!G10="","",'Measurements'!G10)</f>
        <v>-40.3</v>
      </c>
      <c r="H10" s="62">
        <f>IF(COUNT(F10:G10)=2,G10-F10,"")</f>
        <v>-0.05</v>
      </c>
      <c r="I10" s="62">
        <f>IF(H10="","",POWER(10,H10/20))</f>
        <v>0.994260073952957</v>
      </c>
      <c r="J10" s="62">
        <f>'Model'!G6</f>
        <v>0.297677644665851</v>
      </c>
      <c r="K10" s="62">
        <f>'Model'!H6</f>
        <v>0.495902170909175</v>
      </c>
      <c r="L10" s="62">
        <f>'Model'!I6</f>
        <v>0.20653132332985</v>
      </c>
      <c r="M10" s="62">
        <f>'Model'!J6</f>
        <v>1.00011113890488</v>
      </c>
      <c r="N10" s="62">
        <f>IF(I10="","",L10-POWER(I10,2)*M10)</f>
        <v>-0.7821316380354451</v>
      </c>
      <c r="O10" s="62">
        <f>IF(N10="","",POWER(K10,2)-4*J10*N10)</f>
        <v>1.17721137842857</v>
      </c>
      <c r="P10" s="62">
        <f>IF(O10="","",(-K10+SQRT(O10))/(2*J10))</f>
        <v>0.989478992472001</v>
      </c>
      <c r="Q10" s="62">
        <f>IF(P10="","",20*LOG10(P10))</f>
        <v>-0.0918684364349177</v>
      </c>
      <c r="R10" s="63">
        <f>IF(Q10="","",-4*(Q10+10))</f>
        <v>-39.6325262542603</v>
      </c>
    </row>
    <row r="11" ht="13.55" customHeight="1">
      <c r="A11" t="s" s="47">
        <f>'Measurements'!A11</f>
        <v>53</v>
      </c>
      <c r="B11" s="48">
        <f>'Measurements'!B11</f>
        <v>2</v>
      </c>
      <c r="C11" s="48">
        <f>'Measurements'!C11</f>
        <v>297</v>
      </c>
      <c r="D11" s="61">
        <f>'Measurements'!D11</f>
        <v>85</v>
      </c>
      <c r="E11" s="61">
        <f>'Measurements'!E11</f>
        <v>-19.85</v>
      </c>
      <c r="F11" s="61">
        <f>IF('Measurements'!F11="","",'Measurements'!F11)</f>
        <v>-20.25</v>
      </c>
      <c r="G11" s="61">
        <f>IF('Measurements'!G11="","",'Measurements'!G11)</f>
        <v>-22.63</v>
      </c>
      <c r="H11" s="62">
        <f>IF(COUNT(F11:G11)=2,G11-F11,"")</f>
        <v>-2.38</v>
      </c>
      <c r="I11" s="62">
        <f>IF(H11="","",POWER(10,H11/20))</f>
        <v>0.760326276940182</v>
      </c>
      <c r="J11" s="62">
        <f>'Model'!G6</f>
        <v>0.297677644665851</v>
      </c>
      <c r="K11" s="62">
        <f>'Model'!H6</f>
        <v>0.495902170909175</v>
      </c>
      <c r="L11" s="62">
        <f>'Model'!I6</f>
        <v>0.20653132332985</v>
      </c>
      <c r="M11" s="62">
        <f>'Model'!J6</f>
        <v>1.00011113890488</v>
      </c>
      <c r="N11" s="62">
        <f>IF(I11="","",L11-POWER(I11,2)*M11)</f>
        <v>-0.371628973037492</v>
      </c>
      <c r="O11" s="62">
        <f>IF(N11="","",POWER(K11,2)-4*J11*N11)</f>
        <v>0.6884215126459911</v>
      </c>
      <c r="P11" s="62">
        <f>IF(O11="","",(-K11+SQRT(O11))/(2*J11))</f>
        <v>0.560689624514316</v>
      </c>
      <c r="Q11" s="62">
        <f>IF(P11="","",20*LOG10(P11))</f>
        <v>-5.0255496077562</v>
      </c>
      <c r="R11" s="63">
        <f>IF(Q11="","",-4*(Q11+10))</f>
        <v>-19.8978015689752</v>
      </c>
    </row>
    <row r="12" ht="13.55" customHeight="1">
      <c r="A12" t="s" s="47">
        <f>'Measurements'!A12</f>
        <v>54</v>
      </c>
      <c r="B12" s="48">
        <f>'Measurements'!B12</f>
        <v>2</v>
      </c>
      <c r="C12" s="48">
        <f>'Measurements'!C12</f>
        <v>297</v>
      </c>
      <c r="D12" s="61">
        <f>'Measurements'!D12</f>
        <v>95</v>
      </c>
      <c r="E12" s="61">
        <f>'Measurements'!E12</f>
        <v>-9.85</v>
      </c>
      <c r="F12" s="61">
        <f>IF('Measurements'!F12="","",'Measurements'!F12)</f>
        <v>-10.25</v>
      </c>
      <c r="G12" s="61">
        <f>IF('Measurements'!G12="","",'Measurements'!G12)</f>
        <v>-13.56</v>
      </c>
      <c r="H12" s="62">
        <f>IF(COUNT(F12:G12)=2,G12-F12,"")</f>
        <v>-3.31</v>
      </c>
      <c r="I12" s="62">
        <f>IF(H12="","",POWER(10,H12/20))</f>
        <v>0.683124717979293</v>
      </c>
      <c r="J12" s="62">
        <f>'Model'!G6</f>
        <v>0.297677644665851</v>
      </c>
      <c r="K12" s="62">
        <f>'Model'!H6</f>
        <v>0.495902170909175</v>
      </c>
      <c r="L12" s="62">
        <f>'Model'!I6</f>
        <v>0.20653132332985</v>
      </c>
      <c r="M12" s="62">
        <f>'Model'!J6</f>
        <v>1.00011113890488</v>
      </c>
      <c r="N12" s="62">
        <f>IF(I12="","",L12-POWER(I12,2)*M12)</f>
        <v>-0.260179920996919</v>
      </c>
      <c r="O12" s="62">
        <f>IF(N12="","",POWER(K12,2)-4*J12*N12)</f>
        <v>0.555717947399273</v>
      </c>
      <c r="P12" s="62">
        <f>IF(O12="","",(-K12+SQRT(O12))/(2*J12))</f>
        <v>0.419182887703736</v>
      </c>
      <c r="Q12" s="62">
        <f>IF(P12="","",20*LOG10(P12))</f>
        <v>-7.55192909718181</v>
      </c>
      <c r="R12" s="63">
        <f>IF(Q12="","",-4*(Q12+10))</f>
        <v>-9.79228361127276</v>
      </c>
    </row>
    <row r="13" ht="13.55" customHeight="1">
      <c r="A13" t="s" s="47">
        <f>'Measurements'!A13</f>
        <v>55</v>
      </c>
      <c r="B13" s="48">
        <f>'Measurements'!B13</f>
        <v>3</v>
      </c>
      <c r="C13" s="48">
        <f>'Measurements'!C13</f>
        <v>500</v>
      </c>
      <c r="D13" s="61">
        <f>'Measurements'!D13</f>
        <v>45</v>
      </c>
      <c r="E13" s="61">
        <f>'Measurements'!E13</f>
        <v>-59.85</v>
      </c>
      <c r="F13" s="61">
        <f>IF('Measurements'!F13="","",'Measurements'!F13)</f>
        <v>-60.25</v>
      </c>
      <c r="G13" s="61">
        <f>IF('Measurements'!G13="","",'Measurements'!G13)</f>
        <v>-57.3</v>
      </c>
      <c r="H13" s="62">
        <f>IF(COUNT(F13:G13)=2,G13-F13,"")</f>
        <v>2.95</v>
      </c>
      <c r="I13" s="62">
        <f>IF(H13="","",POWER(10,H13/20))</f>
        <v>1.40442968357795</v>
      </c>
      <c r="J13" s="62">
        <f>'Model'!G7</f>
        <v>0.273775598779745</v>
      </c>
      <c r="K13" s="62">
        <f>'Model'!H7</f>
        <v>0.498945064044427</v>
      </c>
      <c r="L13" s="62">
        <f>'Model'!I7</f>
        <v>0.227326912575212</v>
      </c>
      <c r="M13" s="62">
        <f>'Model'!J7</f>
        <v>1.00004757539938</v>
      </c>
      <c r="N13" s="62">
        <f>IF(I13="","",L13-POWER(I13,2)*M13)</f>
        <v>-1.74518966233907</v>
      </c>
      <c r="O13" s="62">
        <f>IF(N13="","",POWER(K13,2)-4*J13*N13)</f>
        <v>2.1601075560987</v>
      </c>
      <c r="P13" s="62">
        <f>IF(O13="","",(-K13+SQRT(O13))/(2*J13))</f>
        <v>1.77295817601122</v>
      </c>
      <c r="Q13" s="62">
        <f>IF(P13="","",20*LOG10(P13))</f>
        <v>4.97396981476196</v>
      </c>
      <c r="R13" s="63">
        <f>IF(Q13="","",-4*(Q13+10))</f>
        <v>-59.8958792590478</v>
      </c>
    </row>
    <row r="14" ht="13.55" customHeight="1">
      <c r="A14" t="s" s="47">
        <f>'Measurements'!A14</f>
        <v>56</v>
      </c>
      <c r="B14" s="48">
        <f>'Measurements'!B14</f>
        <v>3</v>
      </c>
      <c r="C14" s="48">
        <f>'Measurements'!C14</f>
        <v>500</v>
      </c>
      <c r="D14" s="61">
        <f>'Measurements'!D14</f>
        <v>65</v>
      </c>
      <c r="E14" s="61">
        <f>'Measurements'!E14</f>
        <v>-39.85</v>
      </c>
      <c r="F14" s="61">
        <f>IF('Measurements'!F14="","",'Measurements'!F14)</f>
        <v>-40.25</v>
      </c>
      <c r="G14" s="61">
        <f>IF('Measurements'!G14="","",'Measurements'!G14)</f>
        <v>-40.24</v>
      </c>
      <c r="H14" s="62">
        <f>IF(COUNT(F14:G14)=2,G14-F14,"")</f>
        <v>0.01</v>
      </c>
      <c r="I14" s="62">
        <f>IF(H14="","",POWER(10,H14/20))</f>
        <v>1.00115195553817</v>
      </c>
      <c r="J14" s="62">
        <f>'Model'!G7</f>
        <v>0.273775598779745</v>
      </c>
      <c r="K14" s="62">
        <f>'Model'!H7</f>
        <v>0.498945064044427</v>
      </c>
      <c r="L14" s="62">
        <f>'Model'!I7</f>
        <v>0.227326912575212</v>
      </c>
      <c r="M14" s="62">
        <f>'Model'!J7</f>
        <v>1.00004757539938</v>
      </c>
      <c r="N14" s="62">
        <f>IF(I14="","",L14-POWER(I14,2)*M14)</f>
        <v>-0.775026010574692</v>
      </c>
      <c r="O14" s="62">
        <f>IF(N14="","",POWER(K14,2)-4*J14*N14)</f>
        <v>1.09767901739415</v>
      </c>
      <c r="P14" s="62">
        <f>IF(O14="","",(-K14+SQRT(O14))/(2*J14))</f>
        <v>1.00220165209402</v>
      </c>
      <c r="Q14" s="62">
        <f>IF(P14="","",20*LOG10(P14))</f>
        <v>0.0191022865231929</v>
      </c>
      <c r="R14" s="63">
        <f>IF(Q14="","",-4*(Q14+10))</f>
        <v>-40.0764091460928</v>
      </c>
    </row>
    <row r="15" ht="13.55" customHeight="1">
      <c r="A15" t="s" s="47">
        <f>'Measurements'!A15</f>
        <v>57</v>
      </c>
      <c r="B15" s="48">
        <f>'Measurements'!B15</f>
        <v>3</v>
      </c>
      <c r="C15" s="48">
        <f>'Measurements'!C15</f>
        <v>500</v>
      </c>
      <c r="D15" s="61">
        <f>'Measurements'!D15</f>
        <v>85</v>
      </c>
      <c r="E15" s="61">
        <f>'Measurements'!E15</f>
        <v>-19.85</v>
      </c>
      <c r="F15" s="61">
        <f>IF('Measurements'!F15="","",'Measurements'!F15)</f>
        <v>-20.25</v>
      </c>
      <c r="G15" s="61">
        <f>IF('Measurements'!G15="","",'Measurements'!G15)</f>
        <v>-22.49</v>
      </c>
      <c r="H15" s="62">
        <f>IF(COUNT(F15:G15)=2,G15-F15,"")</f>
        <v>-2.24</v>
      </c>
      <c r="I15" s="62">
        <f>IF(H15="","",POWER(10,H15/20))</f>
        <v>0.772680585095702</v>
      </c>
      <c r="J15" s="62">
        <f>'Model'!G7</f>
        <v>0.273775598779745</v>
      </c>
      <c r="K15" s="62">
        <f>'Model'!H7</f>
        <v>0.498945064044427</v>
      </c>
      <c r="L15" s="62">
        <f>'Model'!I7</f>
        <v>0.227326912575212</v>
      </c>
      <c r="M15" s="62">
        <f>'Model'!J7</f>
        <v>1.00004757539938</v>
      </c>
      <c r="N15" s="62">
        <f>IF(I15="","",L15-POWER(I15,2)*M15)</f>
        <v>-0.369736778200828</v>
      </c>
      <c r="O15" s="62">
        <f>IF(N15="","",POWER(K15,2)-4*J15*N15)</f>
        <v>0.653845808305599</v>
      </c>
      <c r="P15" s="62">
        <f>IF(O15="","",(-K15+SQRT(O15))/(2*J15))</f>
        <v>0.565540288715367</v>
      </c>
      <c r="Q15" s="62">
        <f>IF(P15="","",20*LOG10(P15))</f>
        <v>-4.95072901570743</v>
      </c>
      <c r="R15" s="63">
        <f>IF(Q15="","",-4*(Q15+10))</f>
        <v>-20.1970839371703</v>
      </c>
    </row>
    <row r="16" ht="13.55" customHeight="1">
      <c r="A16" t="s" s="47">
        <f>'Measurements'!A16</f>
        <v>58</v>
      </c>
      <c r="B16" s="48">
        <f>'Measurements'!B16</f>
        <v>3</v>
      </c>
      <c r="C16" s="48">
        <f>'Measurements'!C16</f>
        <v>500</v>
      </c>
      <c r="D16" s="61">
        <f>'Measurements'!D16</f>
        <v>95</v>
      </c>
      <c r="E16" s="61">
        <f>'Measurements'!E16</f>
        <v>-9.85</v>
      </c>
      <c r="F16" s="61">
        <f>IF('Measurements'!F16="","",'Measurements'!F16)</f>
        <v>-10.25</v>
      </c>
      <c r="G16" s="61">
        <f>IF('Measurements'!G16="","",'Measurements'!G16)</f>
        <v>-13.36</v>
      </c>
      <c r="H16" s="62">
        <f>IF(COUNT(F16:G16)=2,G16-F16,"")</f>
        <v>-3.11</v>
      </c>
      <c r="I16" s="62">
        <f>IF(H16="","",POWER(10,H16/20))</f>
        <v>0.699036736761977</v>
      </c>
      <c r="J16" s="62">
        <f>'Model'!G7</f>
        <v>0.273775598779745</v>
      </c>
      <c r="K16" s="62">
        <f>'Model'!H7</f>
        <v>0.498945064044427</v>
      </c>
      <c r="L16" s="62">
        <f>'Model'!I7</f>
        <v>0.227326912575212</v>
      </c>
      <c r="M16" s="62">
        <f>'Model'!J7</f>
        <v>1.00004757539938</v>
      </c>
      <c r="N16" s="62">
        <f>IF(I16="","",L16-POWER(I16,2)*M16)</f>
        <v>-0.261348694598775</v>
      </c>
      <c r="O16" s="62">
        <f>IF(N16="","",POWER(K16,2)-4*J16*N16)</f>
        <v>0.5351497583506351</v>
      </c>
      <c r="P16" s="62">
        <f>IF(O16="","",(-K16+SQRT(O16))/(2*J16))</f>
        <v>0.424789945573165</v>
      </c>
      <c r="Q16" s="62">
        <f>IF(P16="","",20*LOG10(P16))</f>
        <v>-7.43651542392579</v>
      </c>
      <c r="R16" s="63">
        <f>IF(Q16="","",-4*(Q16+10))</f>
        <v>-10.2539383042968</v>
      </c>
    </row>
    <row r="17" ht="13.55" customHeight="1">
      <c r="A17" t="s" s="47">
        <f>'Measurements'!A17</f>
        <v>59</v>
      </c>
      <c r="B17" s="48">
        <f>'Measurements'!B17</f>
        <v>4</v>
      </c>
      <c r="C17" s="48">
        <f>'Measurements'!C17</f>
        <v>841</v>
      </c>
      <c r="D17" s="61">
        <f>'Measurements'!D17</f>
        <v>45</v>
      </c>
      <c r="E17" s="61">
        <f>'Measurements'!E17</f>
        <v>-59.85</v>
      </c>
      <c r="F17" s="61">
        <f>IF('Measurements'!F17="","",'Measurements'!F17)</f>
        <v>-60.25</v>
      </c>
      <c r="G17" s="61">
        <f>IF('Measurements'!G17="","",'Measurements'!G17)</f>
        <v>-57.31</v>
      </c>
      <c r="H17" s="62">
        <f>IF(COUNT(F17:G17)=2,G17-F17,"")</f>
        <v>2.94</v>
      </c>
      <c r="I17" s="62">
        <f>IF(H17="","",POWER(10,H17/20))</f>
        <v>1.40281370456196</v>
      </c>
      <c r="J17" s="62">
        <f>'Model'!G8</f>
        <v>0.270919260193919</v>
      </c>
      <c r="K17" s="62">
        <f>'Model'!H8</f>
        <v>0.49915596918635</v>
      </c>
      <c r="L17" s="62">
        <f>'Model'!I8</f>
        <v>0.22991792047783</v>
      </c>
      <c r="M17" s="62">
        <f>'Model'!J8</f>
        <v>0.999993149858099</v>
      </c>
      <c r="N17" s="62">
        <f>IF(I17="","",L17-POWER(I17,2)*M17)</f>
        <v>-1.73795488892869</v>
      </c>
      <c r="O17" s="62">
        <f>IF(N17="","",POWER(K17,2)-4*J17*N17)</f>
        <v>2.13253849261023</v>
      </c>
      <c r="P17" s="62">
        <f>IF(O17="","",(-K17+SQRT(O17))/(2*J17))</f>
        <v>1.7738963932205</v>
      </c>
      <c r="Q17" s="62">
        <f>IF(P17="","",20*LOG10(P17))</f>
        <v>4.9785650137854</v>
      </c>
      <c r="R17" s="63">
        <f>IF(Q17="","",-4*(Q17+10))</f>
        <v>-59.9142600551416</v>
      </c>
    </row>
    <row r="18" ht="13.55" customHeight="1">
      <c r="A18" t="s" s="47">
        <f>'Measurements'!A18</f>
        <v>60</v>
      </c>
      <c r="B18" s="48">
        <f>'Measurements'!B18</f>
        <v>4</v>
      </c>
      <c r="C18" s="48">
        <f>'Measurements'!C18</f>
        <v>841</v>
      </c>
      <c r="D18" s="61">
        <f>'Measurements'!D18</f>
        <v>65</v>
      </c>
      <c r="E18" s="61">
        <f>'Measurements'!E18</f>
        <v>-39.85</v>
      </c>
      <c r="F18" s="61">
        <f>IF('Measurements'!F18="","",'Measurements'!F18)</f>
        <v>-40.25</v>
      </c>
      <c r="G18" s="61">
        <f>IF('Measurements'!G18="","",'Measurements'!G18)</f>
        <v>-40.23</v>
      </c>
      <c r="H18" s="62">
        <f>IF(COUNT(F18:G18)=2,G18-F18,"")</f>
        <v>0.02</v>
      </c>
      <c r="I18" s="62">
        <f>IF(H18="","",POWER(10,H18/20))</f>
        <v>1.0023052380779</v>
      </c>
      <c r="J18" s="62">
        <f>'Model'!G8</f>
        <v>0.270919260193919</v>
      </c>
      <c r="K18" s="62">
        <f>'Model'!H8</f>
        <v>0.49915596918635</v>
      </c>
      <c r="L18" s="62">
        <f>'Model'!I8</f>
        <v>0.22991792047783</v>
      </c>
      <c r="M18" s="62">
        <f>'Model'!J8</f>
        <v>0.999993149858099</v>
      </c>
      <c r="N18" s="62">
        <f>IF(I18="","",L18-POWER(I18,2)*M18)</f>
        <v>-0.774690988039846</v>
      </c>
      <c r="O18" s="62">
        <f>IF(N18="","",POWER(K18,2)-4*J18*N18)</f>
        <v>1.08867151900897</v>
      </c>
      <c r="P18" s="62">
        <f>IF(O18="","",(-K18+SQRT(O18))/(2*J18))</f>
        <v>1.00442888470508</v>
      </c>
      <c r="Q18" s="62">
        <f>IF(P18="","",20*LOG10(P18))</f>
        <v>0.0383838675093157</v>
      </c>
      <c r="R18" s="63">
        <f>IF(Q18="","",-4*(Q18+10))</f>
        <v>-40.1535354700373</v>
      </c>
    </row>
    <row r="19" ht="13.55" customHeight="1">
      <c r="A19" t="s" s="47">
        <f>'Measurements'!A19</f>
        <v>61</v>
      </c>
      <c r="B19" s="48">
        <f>'Measurements'!B19</f>
        <v>4</v>
      </c>
      <c r="C19" s="48">
        <f>'Measurements'!C19</f>
        <v>841</v>
      </c>
      <c r="D19" s="61">
        <f>'Measurements'!D19</f>
        <v>85</v>
      </c>
      <c r="E19" s="61">
        <f>'Measurements'!E19</f>
        <v>-19.85</v>
      </c>
      <c r="F19" s="61">
        <f>IF('Measurements'!F19="","",'Measurements'!F19)</f>
        <v>-20.25</v>
      </c>
      <c r="G19" s="61">
        <f>IF('Measurements'!G19="","",'Measurements'!G19)</f>
        <v>-22.47</v>
      </c>
      <c r="H19" s="62">
        <f>IF(COUNT(F19:G19)=2,G19-F19,"")</f>
        <v>-2.22</v>
      </c>
      <c r="I19" s="62">
        <f>IF(H19="","",POWER(10,H19/20))</f>
        <v>0.774461797802519</v>
      </c>
      <c r="J19" s="62">
        <f>'Model'!G8</f>
        <v>0.270919260193919</v>
      </c>
      <c r="K19" s="62">
        <f>'Model'!H8</f>
        <v>0.49915596918635</v>
      </c>
      <c r="L19" s="62">
        <f>'Model'!I8</f>
        <v>0.22991792047783</v>
      </c>
      <c r="M19" s="62">
        <f>'Model'!J8</f>
        <v>0.999993149858099</v>
      </c>
      <c r="N19" s="62">
        <f>IF(I19="","",L19-POWER(I19,2)*M19)</f>
        <v>-0.369869047123697</v>
      </c>
      <c r="O19" s="62">
        <f>IF(N19="","",POWER(K19,2)-4*J19*N19)</f>
        <v>0.649975276035891</v>
      </c>
      <c r="P19" s="62">
        <f>IF(O19="","",(-K19+SQRT(O19))/(2*J19))</f>
        <v>0.566690002265399</v>
      </c>
      <c r="Q19" s="62">
        <f>IF(P19="","",20*LOG10(P19))</f>
        <v>-4.93308898518913</v>
      </c>
      <c r="R19" s="63">
        <f>IF(Q19="","",-4*(Q19+10))</f>
        <v>-20.2676440592435</v>
      </c>
    </row>
    <row r="20" ht="13.55" customHeight="1">
      <c r="A20" t="s" s="47">
        <f>'Measurements'!A20</f>
        <v>62</v>
      </c>
      <c r="B20" s="48">
        <f>'Measurements'!B20</f>
        <v>4</v>
      </c>
      <c r="C20" s="48">
        <f>'Measurements'!C20</f>
        <v>841</v>
      </c>
      <c r="D20" s="61">
        <f>'Measurements'!D20</f>
        <v>95</v>
      </c>
      <c r="E20" s="61">
        <f>'Measurements'!E20</f>
        <v>-9.85</v>
      </c>
      <c r="F20" s="61">
        <f>IF('Measurements'!F20="","",'Measurements'!F20)</f>
        <v>-10.25</v>
      </c>
      <c r="G20" s="61">
        <f>IF('Measurements'!G20="","",'Measurements'!G20)</f>
        <v>-13.34</v>
      </c>
      <c r="H20" s="62">
        <f>IF(COUNT(F20:G20)=2,G20-F20,"")</f>
        <v>-3.09</v>
      </c>
      <c r="I20" s="62">
        <f>IF(H20="","",POWER(10,H20/20))</f>
        <v>0.700648182865412</v>
      </c>
      <c r="J20" s="62">
        <f>'Model'!G8</f>
        <v>0.270919260193919</v>
      </c>
      <c r="K20" s="62">
        <f>'Model'!H8</f>
        <v>0.49915596918635</v>
      </c>
      <c r="L20" s="62">
        <f>'Model'!I8</f>
        <v>0.22991792047783</v>
      </c>
      <c r="M20" s="62">
        <f>'Model'!J8</f>
        <v>0.999993149858099</v>
      </c>
      <c r="N20" s="62">
        <f>IF(I20="","",L20-POWER(I20,2)*M20)</f>
        <v>-0.260986592886162</v>
      </c>
      <c r="O20" s="62">
        <f>IF(N20="","",POWER(K20,2)-4*J20*N20)</f>
        <v>0.531981860235367</v>
      </c>
      <c r="P20" s="62">
        <f>IF(O20="","",(-K20+SQRT(O20))/(2*J20))</f>
        <v>0.424877317127542</v>
      </c>
      <c r="Q20" s="62">
        <f>IF(P20="","",20*LOG10(P20))</f>
        <v>-7.43472907834131</v>
      </c>
      <c r="R20" s="63">
        <f>IF(Q20="","",-4*(Q20+10))</f>
        <v>-10.2610836866348</v>
      </c>
    </row>
    <row r="21" ht="13.55" customHeight="1">
      <c r="A21" t="s" s="47">
        <f>'Measurements'!A21</f>
        <v>63</v>
      </c>
      <c r="B21" s="48">
        <f>'Measurements'!B21</f>
        <v>5</v>
      </c>
      <c r="C21" s="48">
        <f>'Measurements'!C21</f>
        <v>1414</v>
      </c>
      <c r="D21" s="61">
        <f>'Measurements'!D21</f>
        <v>45</v>
      </c>
      <c r="E21" s="61">
        <f>'Measurements'!E21</f>
        <v>-59.85</v>
      </c>
      <c r="F21" s="61">
        <f>IF('Measurements'!F21="","",'Measurements'!F21)</f>
        <v>-60.25</v>
      </c>
      <c r="G21" s="61">
        <f>IF('Measurements'!G21="","",'Measurements'!G21)</f>
        <v>-57.31</v>
      </c>
      <c r="H21" s="62">
        <f>IF(COUNT(F21:G21)=2,G21-F21,"")</f>
        <v>2.94</v>
      </c>
      <c r="I21" s="62">
        <f>IF(H21="","",POWER(10,H21/20))</f>
        <v>1.40281370456196</v>
      </c>
      <c r="J21" s="62">
        <f>'Model'!G9</f>
        <v>0.271759747810971</v>
      </c>
      <c r="K21" s="62">
        <f>'Model'!H9</f>
        <v>0.499081476203585</v>
      </c>
      <c r="L21" s="62">
        <f>'Model'!I9</f>
        <v>0.229138429941501</v>
      </c>
      <c r="M21" s="62">
        <f>'Model'!J9</f>
        <v>0.999979653956057</v>
      </c>
      <c r="N21" s="62">
        <f>IF(I21="","",L21-POWER(I21,2)*M21)</f>
        <v>-1.73870782106442</v>
      </c>
      <c r="O21" s="62">
        <f>IF(N21="","",POWER(K21,2)-4*J21*N21)</f>
        <v>2.13912551576727</v>
      </c>
      <c r="P21" s="62">
        <f>IF(O21="","",(-K21+SQRT(O21))/(2*J21))</f>
        <v>1.77269351383305</v>
      </c>
      <c r="Q21" s="62">
        <f>IF(P21="","",20*LOG10(P21))</f>
        <v>4.97267311295574</v>
      </c>
      <c r="R21" s="63">
        <f>IF(Q21="","",-4*(Q21+10))</f>
        <v>-59.890692451823</v>
      </c>
    </row>
    <row r="22" ht="13.55" customHeight="1">
      <c r="A22" t="s" s="47">
        <f>'Measurements'!A22</f>
        <v>64</v>
      </c>
      <c r="B22" s="48">
        <f>'Measurements'!B22</f>
        <v>5</v>
      </c>
      <c r="C22" s="48">
        <f>'Measurements'!C22</f>
        <v>1414</v>
      </c>
      <c r="D22" s="61">
        <f>'Measurements'!D22</f>
        <v>65</v>
      </c>
      <c r="E22" s="61">
        <f>'Measurements'!E22</f>
        <v>-39.85</v>
      </c>
      <c r="F22" s="61">
        <f>IF('Measurements'!F22="","",'Measurements'!F22)</f>
        <v>-40.25</v>
      </c>
      <c r="G22" s="61">
        <f>IF('Measurements'!G22="","",'Measurements'!G22)</f>
        <v>-40.23</v>
      </c>
      <c r="H22" s="62">
        <f>IF(COUNT(F22:G22)=2,G22-F22,"")</f>
        <v>0.02</v>
      </c>
      <c r="I22" s="62">
        <f>IF(H22="","",POWER(10,H22/20))</f>
        <v>1.0023052380779</v>
      </c>
      <c r="J22" s="62">
        <f>'Model'!G9</f>
        <v>0.271759747810971</v>
      </c>
      <c r="K22" s="62">
        <f>'Model'!H9</f>
        <v>0.499081476203585</v>
      </c>
      <c r="L22" s="62">
        <f>'Model'!I9</f>
        <v>0.229138429941501</v>
      </c>
      <c r="M22" s="62">
        <f>'Model'!J9</f>
        <v>0.999979653956057</v>
      </c>
      <c r="N22" s="62">
        <f>IF(I22="","",L22-POWER(I22,2)*M22)</f>
        <v>-0.77545692037988</v>
      </c>
      <c r="O22" s="62">
        <f>IF(N22="","",POWER(K22,2)-4*J22*N22)</f>
        <v>1.09203422837238</v>
      </c>
      <c r="P22" s="62">
        <f>IF(O22="","",(-K22+SQRT(O22))/(2*J22))</f>
        <v>1.00442200081815</v>
      </c>
      <c r="Q22" s="62">
        <f>IF(P22="","",20*LOG10(P22))</f>
        <v>0.0383243382703996</v>
      </c>
      <c r="R22" s="63">
        <f>IF(Q22="","",-4*(Q22+10))</f>
        <v>-40.1532973530816</v>
      </c>
    </row>
    <row r="23" ht="13.55" customHeight="1">
      <c r="A23" t="s" s="47">
        <f>'Measurements'!A23</f>
        <v>65</v>
      </c>
      <c r="B23" s="48">
        <f>'Measurements'!B23</f>
        <v>5</v>
      </c>
      <c r="C23" s="48">
        <f>'Measurements'!C23</f>
        <v>1414</v>
      </c>
      <c r="D23" s="61">
        <f>'Measurements'!D23</f>
        <v>85</v>
      </c>
      <c r="E23" s="61">
        <f>'Measurements'!E23</f>
        <v>-19.85</v>
      </c>
      <c r="F23" s="61">
        <f>IF('Measurements'!F23="","",'Measurements'!F23)</f>
        <v>-20.25</v>
      </c>
      <c r="G23" s="61">
        <f>IF('Measurements'!G23="","",'Measurements'!G23)</f>
        <v>-22.48</v>
      </c>
      <c r="H23" s="62">
        <f>IF(COUNT(F23:G23)=2,G23-F23,"")</f>
        <v>-2.23</v>
      </c>
      <c r="I23" s="62">
        <f>IF(H23="","",POWER(10,H23/20))</f>
        <v>0.773570678774939</v>
      </c>
      <c r="J23" s="62">
        <f>'Model'!G9</f>
        <v>0.271759747810971</v>
      </c>
      <c r="K23" s="62">
        <f>'Model'!H9</f>
        <v>0.499081476203585</v>
      </c>
      <c r="L23" s="62">
        <f>'Model'!I9</f>
        <v>0.229138429941501</v>
      </c>
      <c r="M23" s="62">
        <f>'Model'!J9</f>
        <v>0.999979653956057</v>
      </c>
      <c r="N23" s="62">
        <f>IF(I23="","",L23-POWER(I23,2)*M23)</f>
        <v>-0.36926098981021</v>
      </c>
      <c r="O23" s="62">
        <f>IF(N23="","",POWER(K23,2)-4*J23*N23)</f>
        <v>0.650483413758558</v>
      </c>
      <c r="P23" s="62">
        <f>IF(O23="","",(-K23+SQRT(O23))/(2*J23))</f>
        <v>0.565654122562736</v>
      </c>
      <c r="Q23" s="62">
        <f>IF(P23="","",20*LOG10(P23))</f>
        <v>-4.94898086662041</v>
      </c>
      <c r="R23" s="63">
        <f>IF(Q23="","",-4*(Q23+10))</f>
        <v>-20.2040765335184</v>
      </c>
    </row>
    <row r="24" ht="13.55" customHeight="1">
      <c r="A24" t="s" s="47">
        <f>'Measurements'!A24</f>
        <v>66</v>
      </c>
      <c r="B24" s="48">
        <f>'Measurements'!B24</f>
        <v>5</v>
      </c>
      <c r="C24" s="48">
        <f>'Measurements'!C24</f>
        <v>1414</v>
      </c>
      <c r="D24" s="61">
        <f>'Measurements'!D24</f>
        <v>95</v>
      </c>
      <c r="E24" s="61">
        <f>'Measurements'!E24</f>
        <v>-9.85</v>
      </c>
      <c r="F24" s="61">
        <f>IF('Measurements'!F24="","",'Measurements'!F24)</f>
        <v>-10.25</v>
      </c>
      <c r="G24" s="61">
        <f>IF('Measurements'!G24="","",'Measurements'!G24)</f>
        <v>-13.34</v>
      </c>
      <c r="H24" s="62">
        <f>IF(COUNT(F24:G24)=2,G24-F24,"")</f>
        <v>-3.09</v>
      </c>
      <c r="I24" s="62">
        <f>IF(H24="","",POWER(10,H24/20))</f>
        <v>0.700648182865412</v>
      </c>
      <c r="J24" s="62">
        <f>'Model'!G9</f>
        <v>0.271759747810971</v>
      </c>
      <c r="K24" s="62">
        <f>'Model'!H9</f>
        <v>0.499081476203585</v>
      </c>
      <c r="L24" s="62">
        <f>'Model'!I9</f>
        <v>0.229138429941501</v>
      </c>
      <c r="M24" s="62">
        <f>'Model'!J9</f>
        <v>0.999979653956057</v>
      </c>
      <c r="N24" s="62">
        <f>IF(I24="","",L24-POWER(I24,2)*M24)</f>
        <v>-0.261759458177883</v>
      </c>
      <c r="O24" s="62">
        <f>IF(N24="","",POWER(K24,2)-4*J24*N24)</f>
        <v>0.533625057255781</v>
      </c>
      <c r="P24" s="62">
        <f>IF(O24="","",(-K24+SQRT(O24))/(2*J24))</f>
        <v>0.425771239876596</v>
      </c>
      <c r="Q24" s="62">
        <f>IF(P24="","",20*LOG10(P24))</f>
        <v>-7.4164735552172</v>
      </c>
      <c r="R24" s="63">
        <f>IF(Q24="","",-4*(Q24+10))</f>
        <v>-10.3341057791312</v>
      </c>
    </row>
    <row r="25" ht="13.55" customHeight="1">
      <c r="A25" t="s" s="47">
        <f>'Measurements'!A25</f>
        <v>67</v>
      </c>
      <c r="B25" s="48">
        <f>'Measurements'!B25</f>
        <v>6</v>
      </c>
      <c r="C25" s="48">
        <f>'Measurements'!C25</f>
        <v>2378</v>
      </c>
      <c r="D25" s="61">
        <f>'Measurements'!D25</f>
        <v>45</v>
      </c>
      <c r="E25" s="61">
        <f>'Measurements'!E25</f>
        <v>-59.85</v>
      </c>
      <c r="F25" s="61">
        <f>IF('Measurements'!F25="","",'Measurements'!F25)</f>
        <v>-60.25</v>
      </c>
      <c r="G25" s="61">
        <f>IF('Measurements'!G25="","",'Measurements'!G25)</f>
        <v>-57.31</v>
      </c>
      <c r="H25" s="62">
        <f>IF(COUNT(F25:G25)=2,G25-F25,"")</f>
        <v>2.94</v>
      </c>
      <c r="I25" s="62">
        <f>IF(H25="","",POWER(10,H25/20))</f>
        <v>1.40281370456196</v>
      </c>
      <c r="J25" s="62">
        <f>'Model'!G10</f>
        <v>0.275576863069376</v>
      </c>
      <c r="K25" s="62">
        <f>'Model'!H10</f>
        <v>0.498738175718708</v>
      </c>
      <c r="L25" s="62">
        <f>'Model'!I10</f>
        <v>0.22565377030293</v>
      </c>
      <c r="M25" s="62">
        <f>'Model'!J10</f>
        <v>0.999968809091014</v>
      </c>
      <c r="N25" s="62">
        <f>IF(I25="","",L25-POWER(I25,2)*M25)</f>
        <v>-1.74217113924176</v>
      </c>
      <c r="O25" s="62">
        <f>IF(N25="","",POWER(K25,2)-4*J25*N25)</f>
        <v>2.16914799784821</v>
      </c>
      <c r="P25" s="62">
        <f>IF(O25="","",(-K25+SQRT(O25))/(2*J25))</f>
        <v>1.7673192570171</v>
      </c>
      <c r="Q25" s="62">
        <f>IF(P25="","",20*LOG10(P25))</f>
        <v>4.94630019258848</v>
      </c>
      <c r="R25" s="63">
        <f>IF(Q25="","",-4*(Q25+10))</f>
        <v>-59.7852007703539</v>
      </c>
    </row>
    <row r="26" ht="13.55" customHeight="1">
      <c r="A26" t="s" s="47">
        <f>'Measurements'!A26</f>
        <v>68</v>
      </c>
      <c r="B26" s="48">
        <f>'Measurements'!B26</f>
        <v>6</v>
      </c>
      <c r="C26" s="48">
        <f>'Measurements'!C26</f>
        <v>2378</v>
      </c>
      <c r="D26" s="61">
        <f>'Measurements'!D26</f>
        <v>65</v>
      </c>
      <c r="E26" s="61">
        <f>'Measurements'!E26</f>
        <v>-39.85</v>
      </c>
      <c r="F26" s="61">
        <f>IF('Measurements'!F26="","",'Measurements'!F26)</f>
        <v>-40.26</v>
      </c>
      <c r="G26" s="61">
        <f>IF('Measurements'!G26="","",'Measurements'!G26)</f>
        <v>-40.24</v>
      </c>
      <c r="H26" s="62">
        <f>IF(COUNT(F26:G26)=2,G26-F26,"")</f>
        <v>0.02</v>
      </c>
      <c r="I26" s="62">
        <f>IF(H26="","",POWER(10,H26/20))</f>
        <v>1.0023052380779</v>
      </c>
      <c r="J26" s="62">
        <f>'Model'!G10</f>
        <v>0.275576863069376</v>
      </c>
      <c r="K26" s="62">
        <f>'Model'!H10</f>
        <v>0.498738175718708</v>
      </c>
      <c r="L26" s="62">
        <f>'Model'!I10</f>
        <v>0.22565377030293</v>
      </c>
      <c r="M26" s="62">
        <f>'Model'!J10</f>
        <v>0.999968809091014</v>
      </c>
      <c r="N26" s="62">
        <f>IF(I26="","",L26-POWER(I26,2)*M26)</f>
        <v>-0.778930685095785</v>
      </c>
      <c r="O26" s="62">
        <f>IF(N26="","",POWER(K26,2)-4*J26*N26)</f>
        <v>1.10736086690793</v>
      </c>
      <c r="P26" s="62">
        <f>IF(O26="","",(-K26+SQRT(O26))/(2*J26))</f>
        <v>1.00439124479614</v>
      </c>
      <c r="Q26" s="62">
        <f>IF(P26="","",20*LOG10(P26))</f>
        <v>0.0380583668930328</v>
      </c>
      <c r="R26" s="63">
        <f>IF(Q26="","",-4*(Q26+10))</f>
        <v>-40.1522334675721</v>
      </c>
    </row>
    <row r="27" ht="13.55" customHeight="1">
      <c r="A27" t="s" s="47">
        <f>'Measurements'!A27</f>
        <v>69</v>
      </c>
      <c r="B27" s="48">
        <f>'Measurements'!B27</f>
        <v>6</v>
      </c>
      <c r="C27" s="48">
        <f>'Measurements'!C27</f>
        <v>2378</v>
      </c>
      <c r="D27" s="61">
        <f>'Measurements'!D27</f>
        <v>85</v>
      </c>
      <c r="E27" s="61">
        <f>'Measurements'!E27</f>
        <v>-19.85</v>
      </c>
      <c r="F27" s="61">
        <f>IF('Measurements'!F27="","",'Measurements'!F27)</f>
        <v>-20.25</v>
      </c>
      <c r="G27" s="61">
        <f>IF('Measurements'!G27="","",'Measurements'!G27)</f>
        <v>-22.5</v>
      </c>
      <c r="H27" s="62">
        <f>IF(COUNT(F27:G27)=2,G27-F27,"")</f>
        <v>-2.25</v>
      </c>
      <c r="I27" s="62">
        <f>IF(H27="","",POWER(10,H27/20))</f>
        <v>0.771791515585012</v>
      </c>
      <c r="J27" s="62">
        <f>'Model'!G10</f>
        <v>0.275576863069376</v>
      </c>
      <c r="K27" s="62">
        <f>'Model'!H10</f>
        <v>0.498738175718708</v>
      </c>
      <c r="L27" s="62">
        <f>'Model'!I10</f>
        <v>0.22565377030293</v>
      </c>
      <c r="M27" s="62">
        <f>'Model'!J10</f>
        <v>0.999968809091014</v>
      </c>
      <c r="N27" s="62">
        <f>IF(I27="","",L27-POWER(I27,2)*M27)</f>
        <v>-0.369989793982375</v>
      </c>
      <c r="O27" s="62">
        <f>IF(N27="","",POWER(K27,2)-4*J27*N27)</f>
        <v>0.656582275092615</v>
      </c>
      <c r="P27" s="62">
        <f>IF(O27="","",(-K27+SQRT(O27))/(2*J27))</f>
        <v>0.5652859728470589</v>
      </c>
      <c r="Q27" s="62">
        <f>IF(P27="","",20*LOG10(P27))</f>
        <v>-4.95463582204481</v>
      </c>
      <c r="R27" s="63">
        <f>IF(Q27="","",-4*(Q27+10))</f>
        <v>-20.1814567118208</v>
      </c>
    </row>
    <row r="28" ht="13.55" customHeight="1">
      <c r="A28" t="s" s="47">
        <f>'Measurements'!A28</f>
        <v>70</v>
      </c>
      <c r="B28" s="48">
        <f>'Measurements'!B28</f>
        <v>6</v>
      </c>
      <c r="C28" s="48">
        <f>'Measurements'!C28</f>
        <v>2378</v>
      </c>
      <c r="D28" s="61">
        <f>'Measurements'!D28</f>
        <v>95</v>
      </c>
      <c r="E28" s="61">
        <f>'Measurements'!E28</f>
        <v>-9.85</v>
      </c>
      <c r="F28" s="61">
        <f>IF('Measurements'!F28="","",'Measurements'!F28)</f>
        <v>-10.25</v>
      </c>
      <c r="G28" s="61">
        <f>IF('Measurements'!G28="","",'Measurements'!G28)</f>
        <v>-13.38</v>
      </c>
      <c r="H28" s="62">
        <f>IF(COUNT(F28:G28)=2,G28-F28,"")</f>
        <v>-3.13</v>
      </c>
      <c r="I28" s="62">
        <f>IF(H28="","",POWER(10,H28/20))</f>
        <v>0.697428996881734</v>
      </c>
      <c r="J28" s="62">
        <f>'Model'!G10</f>
        <v>0.275576863069376</v>
      </c>
      <c r="K28" s="62">
        <f>'Model'!H10</f>
        <v>0.498738175718708</v>
      </c>
      <c r="L28" s="62">
        <f>'Model'!I10</f>
        <v>0.22565377030293</v>
      </c>
      <c r="M28" s="62">
        <f>'Model'!J10</f>
        <v>0.999968809091014</v>
      </c>
      <c r="N28" s="62">
        <f>IF(I28="","",L28-POWER(I28,2)*M28)</f>
        <v>-0.260738263905649</v>
      </c>
      <c r="O28" s="62">
        <f>IF(N28="","",POWER(K28,2)-4*J28*N28)</f>
        <v>0.5361534993163199</v>
      </c>
      <c r="P28" s="62">
        <f>IF(O28="","",(-K28+SQRT(O28))/(2*J28))</f>
        <v>0.423632911213213</v>
      </c>
      <c r="Q28" s="62">
        <f>IF(P28="","",20*LOG10(P28))</f>
        <v>-7.46020615528194</v>
      </c>
      <c r="R28" s="63">
        <f>IF(Q28="","",-4*(Q28+10))</f>
        <v>-10.1591753788722</v>
      </c>
    </row>
    <row r="29" ht="13.55" customHeight="1">
      <c r="A29" t="s" s="47">
        <f>'Measurements'!A29</f>
        <v>71</v>
      </c>
      <c r="B29" s="48">
        <f>'Measurements'!B29</f>
        <v>7</v>
      </c>
      <c r="C29" s="48">
        <f>'Measurements'!C29</f>
        <v>4000</v>
      </c>
      <c r="D29" s="61">
        <f>'Measurements'!D29</f>
        <v>45</v>
      </c>
      <c r="E29" s="61">
        <f>'Measurements'!E29</f>
        <v>-59.85</v>
      </c>
      <c r="F29" s="61">
        <f>IF('Measurements'!F29="","",'Measurements'!F29)</f>
        <v>-60.26</v>
      </c>
      <c r="G29" s="61">
        <f>IF('Measurements'!G29="","",'Measurements'!G29)</f>
        <v>-57.27</v>
      </c>
      <c r="H29" s="62">
        <f>IF(COUNT(F29:G29)=2,G29-F29,"")</f>
        <v>2.99</v>
      </c>
      <c r="I29" s="62">
        <f>IF(H29="","",POWER(10,H29/20))</f>
        <v>1.4109122364581</v>
      </c>
      <c r="J29" s="62">
        <f>'Model'!G11</f>
        <v>0.286503330872058</v>
      </c>
      <c r="K29" s="62">
        <f>'Model'!H11</f>
        <v>0.497497517204182</v>
      </c>
      <c r="L29" s="62">
        <f>'Model'!I11</f>
        <v>0.215969380734646</v>
      </c>
      <c r="M29" s="62">
        <f>'Model'!J11</f>
        <v>0.999970228810886</v>
      </c>
      <c r="N29" s="62">
        <f>IF(I29="","",L29-POWER(I29,2)*M29)</f>
        <v>-1.77464469354011</v>
      </c>
      <c r="O29" s="62">
        <f>IF(N29="","",POWER(K29,2)-4*J29*N29)</f>
        <v>2.28127024287898</v>
      </c>
      <c r="P29" s="62">
        <f>IF(O29="","",(-K29+SQRT(O29))/(2*J29))</f>
        <v>1.76767566305003</v>
      </c>
      <c r="Q29" s="62">
        <f>IF(P29="","",20*LOG10(P29))</f>
        <v>4.94805165393361</v>
      </c>
      <c r="R29" s="63">
        <f>IF(Q29="","",-4*(Q29+10))</f>
        <v>-59.7922066157344</v>
      </c>
    </row>
    <row r="30" ht="13.55" customHeight="1">
      <c r="A30" t="s" s="47">
        <f>'Measurements'!A30</f>
        <v>72</v>
      </c>
      <c r="B30" s="48">
        <f>'Measurements'!B30</f>
        <v>7</v>
      </c>
      <c r="C30" s="48">
        <f>'Measurements'!C30</f>
        <v>4000</v>
      </c>
      <c r="D30" s="61">
        <f>'Measurements'!D30</f>
        <v>65</v>
      </c>
      <c r="E30" s="61">
        <f>'Measurements'!E30</f>
        <v>-39.85</v>
      </c>
      <c r="F30" s="61">
        <f>IF('Measurements'!F30="","",'Measurements'!F30)</f>
        <v>-40.26</v>
      </c>
      <c r="G30" s="61">
        <f>IF('Measurements'!G30="","",'Measurements'!G30)</f>
        <v>-40.26</v>
      </c>
      <c r="H30" s="62">
        <f>IF(COUNT(F30:G30)=2,G30-F30,"")</f>
        <v>0</v>
      </c>
      <c r="I30" s="62">
        <f>IF(H30="","",POWER(10,H30/20))</f>
        <v>1</v>
      </c>
      <c r="J30" s="62">
        <f>'Model'!G11</f>
        <v>0.286503330872058</v>
      </c>
      <c r="K30" s="62">
        <f>'Model'!H11</f>
        <v>0.497497517204182</v>
      </c>
      <c r="L30" s="62">
        <f>'Model'!I11</f>
        <v>0.215969380734646</v>
      </c>
      <c r="M30" s="62">
        <f>'Model'!J11</f>
        <v>0.999970228810886</v>
      </c>
      <c r="N30" s="62">
        <f>IF(I30="","",L30-POWER(I30,2)*M30)</f>
        <v>-0.78400084807624</v>
      </c>
      <c r="O30" s="62">
        <f>IF(N30="","",POWER(K30,2)-4*J30*N30)</f>
        <v>1.14597919714577</v>
      </c>
      <c r="P30" s="62">
        <f>IF(O30="","",(-K30+SQRT(O30))/(2*J30))</f>
        <v>1</v>
      </c>
      <c r="Q30" s="62">
        <f>IF(P30="","",20*LOG10(P30))</f>
        <v>0</v>
      </c>
      <c r="R30" s="63">
        <f>IF(Q30="","",-4*(Q30+10))</f>
        <v>-40</v>
      </c>
    </row>
    <row r="31" ht="13.55" customHeight="1">
      <c r="A31" t="s" s="47">
        <f>'Measurements'!A31</f>
        <v>73</v>
      </c>
      <c r="B31" s="48">
        <f>'Measurements'!B31</f>
        <v>7</v>
      </c>
      <c r="C31" s="48">
        <f>'Measurements'!C31</f>
        <v>4000</v>
      </c>
      <c r="D31" s="61">
        <f>'Measurements'!D31</f>
        <v>85</v>
      </c>
      <c r="E31" s="61">
        <f>'Measurements'!E31</f>
        <v>-19.85</v>
      </c>
      <c r="F31" s="61">
        <f>IF('Measurements'!F31="","",'Measurements'!F31)</f>
        <v>-20.26</v>
      </c>
      <c r="G31" s="61">
        <f>IF('Measurements'!G31="","",'Measurements'!G31)</f>
        <v>-22.57</v>
      </c>
      <c r="H31" s="62">
        <f>IF(COUNT(F31:G31)=2,G31-F31,"")</f>
        <v>-2.31</v>
      </c>
      <c r="I31" s="62">
        <f>IF(H31="","",POWER(10,H31/20))</f>
        <v>0.766478540162591</v>
      </c>
      <c r="J31" s="62">
        <f>'Model'!G11</f>
        <v>0.286503330872058</v>
      </c>
      <c r="K31" s="62">
        <f>'Model'!H11</f>
        <v>0.497497517204182</v>
      </c>
      <c r="L31" s="62">
        <f>'Model'!I11</f>
        <v>0.215969380734646</v>
      </c>
      <c r="M31" s="62">
        <f>'Model'!J11</f>
        <v>0.999970228810886</v>
      </c>
      <c r="N31" s="62">
        <f>IF(I31="","",L31-POWER(I31,2)*M31)</f>
        <v>-0.371502481538514</v>
      </c>
      <c r="O31" s="62">
        <f>IF(N31="","",POWER(K31,2)-4*J31*N31)</f>
        <v>0.673250573176403</v>
      </c>
      <c r="P31" s="62">
        <f>IF(O31="","",(-K31+SQRT(O31))/(2*J31))</f>
        <v>0.563729852771489</v>
      </c>
      <c r="Q31" s="62">
        <f>IF(P31="","",20*LOG10(P31))</f>
        <v>-4.97857932308753</v>
      </c>
      <c r="R31" s="63">
        <f>IF(Q31="","",-4*(Q31+10))</f>
        <v>-20.0856827076499</v>
      </c>
    </row>
    <row r="32" ht="13.55" customHeight="1">
      <c r="A32" t="s" s="47">
        <f>'Measurements'!A32</f>
        <v>74</v>
      </c>
      <c r="B32" s="48">
        <f>'Measurements'!B32</f>
        <v>7</v>
      </c>
      <c r="C32" s="48">
        <f>'Measurements'!C32</f>
        <v>4000</v>
      </c>
      <c r="D32" s="61">
        <f>'Measurements'!D32</f>
        <v>95</v>
      </c>
      <c r="E32" s="61">
        <f>'Measurements'!E32</f>
        <v>-9.85</v>
      </c>
      <c r="F32" s="61">
        <f>IF('Measurements'!F32="","",'Measurements'!F32)</f>
        <v>-10.26</v>
      </c>
      <c r="G32" s="61">
        <f>IF('Measurements'!G32="","",'Measurements'!G32)</f>
        <v>-13.47</v>
      </c>
      <c r="H32" s="62">
        <f>IF(COUNT(F32:G32)=2,G32-F32,"")</f>
        <v>-3.21</v>
      </c>
      <c r="I32" s="62">
        <f>IF(H32="","",POWER(10,H32/20))</f>
        <v>0.69103492940494</v>
      </c>
      <c r="J32" s="62">
        <f>'Model'!G11</f>
        <v>0.286503330872058</v>
      </c>
      <c r="K32" s="62">
        <f>'Model'!H11</f>
        <v>0.497497517204182</v>
      </c>
      <c r="L32" s="62">
        <f>'Model'!I11</f>
        <v>0.215969380734646</v>
      </c>
      <c r="M32" s="62">
        <f>'Model'!J11</f>
        <v>0.999970228810886</v>
      </c>
      <c r="N32" s="62">
        <f>IF(I32="","",L32-POWER(I32,2)*M32)</f>
        <v>-0.261545676308731</v>
      </c>
      <c r="O32" s="62">
        <f>IF(N32="","",POWER(K32,2)-4*J32*N32)</f>
        <v>0.547238609374872</v>
      </c>
      <c r="P32" s="62">
        <f>IF(O32="","",(-K32+SQRT(O32))/(2*J32))</f>
        <v>0.422784368514975</v>
      </c>
      <c r="Q32" s="62">
        <f>IF(P32="","",20*LOG10(P32))</f>
        <v>-7.47762156225848</v>
      </c>
      <c r="R32" s="63">
        <f>IF(Q32="","",-4*(Q32+10))</f>
        <v>-10.0895137509661</v>
      </c>
    </row>
    <row r="33" ht="13.55" customHeight="1">
      <c r="A33" t="s" s="47">
        <f>'Measurements'!A33</f>
        <v>75</v>
      </c>
      <c r="B33" s="48">
        <f>'Measurements'!B33</f>
        <v>8</v>
      </c>
      <c r="C33" s="48">
        <f>'Measurements'!C33</f>
        <v>6727</v>
      </c>
      <c r="D33" s="61">
        <f>'Measurements'!D33</f>
        <v>45</v>
      </c>
      <c r="E33" s="61">
        <f>'Measurements'!E33</f>
        <v>-59.85</v>
      </c>
      <c r="F33" s="61">
        <f>IF('Measurements'!F33="","",'Measurements'!F33)</f>
        <v>-60.27</v>
      </c>
      <c r="G33" s="61">
        <f>IF('Measurements'!G33="","",'Measurements'!G33)</f>
        <v>-57.22</v>
      </c>
      <c r="H33" s="62">
        <f>IF(COUNT(F33:G33)=2,G33-F33,"")</f>
        <v>3.05</v>
      </c>
      <c r="I33" s="62">
        <f>IF(H33="","",POWER(10,H33/20))</f>
        <v>1.42069221286018</v>
      </c>
      <c r="J33" s="62">
        <f>'Model'!G12</f>
        <v>0.320796306240392</v>
      </c>
      <c r="K33" s="62">
        <f>'Model'!H12</f>
        <v>0.491177128088663</v>
      </c>
      <c r="L33" s="62">
        <f>'Model'!I12</f>
        <v>0.18801543815591</v>
      </c>
      <c r="M33" s="62">
        <f>'Model'!J12</f>
        <v>0.999988872484965</v>
      </c>
      <c r="N33" s="62">
        <f>IF(I33="","",L33-POWER(I33,2)*M33)</f>
        <v>-1.83032846612359</v>
      </c>
      <c r="O33" s="62">
        <f>IF(N33="","",POWER(K33,2)-4*J33*N33)</f>
        <v>2.58990541571379</v>
      </c>
      <c r="P33" s="62">
        <f>IF(O33="","",(-K33+SQRT(O33))/(2*J33))</f>
        <v>1.74275881287793</v>
      </c>
      <c r="Q33" s="62">
        <f>IF(P33="","",20*LOG10(P33))</f>
        <v>4.82474575156298</v>
      </c>
      <c r="R33" s="63">
        <f>IF(Q33="","",-4*(Q33+10))</f>
        <v>-59.2989830062519</v>
      </c>
    </row>
    <row r="34" ht="13.55" customHeight="1">
      <c r="A34" t="s" s="47">
        <f>'Measurements'!A34</f>
        <v>76</v>
      </c>
      <c r="B34" s="48">
        <f>'Measurements'!B34</f>
        <v>8</v>
      </c>
      <c r="C34" s="48">
        <f>'Measurements'!C34</f>
        <v>6727</v>
      </c>
      <c r="D34" s="61">
        <f>'Measurements'!D34</f>
        <v>65</v>
      </c>
      <c r="E34" s="61">
        <f>'Measurements'!E34</f>
        <v>-39.85</v>
      </c>
      <c r="F34" s="61">
        <f>IF('Measurements'!F34="","",'Measurements'!F34)</f>
        <v>-40.27</v>
      </c>
      <c r="G34" s="61">
        <f>IF('Measurements'!G34="","",'Measurements'!G34)</f>
        <v>-40.37</v>
      </c>
      <c r="H34" s="62">
        <f>IF(COUNT(F34:G34)=2,G34-F34,"")</f>
        <v>-0.1</v>
      </c>
      <c r="I34" s="62">
        <f>IF(H34="","",POWER(10,H34/20))</f>
        <v>0.988553094656939</v>
      </c>
      <c r="J34" s="62">
        <f>'Model'!G12</f>
        <v>0.320796306240392</v>
      </c>
      <c r="K34" s="62">
        <f>'Model'!H12</f>
        <v>0.491177128088663</v>
      </c>
      <c r="L34" s="62">
        <f>'Model'!I12</f>
        <v>0.18801543815591</v>
      </c>
      <c r="M34" s="62">
        <f>'Model'!J12</f>
        <v>0.999988872484965</v>
      </c>
      <c r="N34" s="62">
        <f>IF(I34="","",L34-POWER(I34,2)*M34)</f>
        <v>-0.789210908578032</v>
      </c>
      <c r="O34" s="62">
        <f>IF(N34="","",POWER(K34,2)-4*J34*N34)</f>
        <v>1.25395874842325</v>
      </c>
      <c r="P34" s="62">
        <f>IF(O34="","",(-K34+SQRT(O34))/(2*J34))</f>
        <v>0.97978975294522</v>
      </c>
      <c r="Q34" s="62">
        <f>IF(P34="","",20*LOG10(P34))</f>
        <v>-0.177342137818665</v>
      </c>
      <c r="R34" s="63">
        <f>IF(Q34="","",-4*(Q34+10))</f>
        <v>-39.2906314487253</v>
      </c>
    </row>
    <row r="35" ht="13.55" customHeight="1">
      <c r="A35" t="s" s="47">
        <f>'Measurements'!A35</f>
        <v>77</v>
      </c>
      <c r="B35" s="48">
        <f>'Measurements'!B35</f>
        <v>8</v>
      </c>
      <c r="C35" s="48">
        <f>'Measurements'!C35</f>
        <v>6727</v>
      </c>
      <c r="D35" s="61">
        <f>'Measurements'!D35</f>
        <v>85</v>
      </c>
      <c r="E35" s="61">
        <f>'Measurements'!E35</f>
        <v>-19.85</v>
      </c>
      <c r="F35" s="61">
        <f>IF('Measurements'!F35="","",'Measurements'!F35)</f>
        <v>-20.27</v>
      </c>
      <c r="G35" s="61">
        <f>IF('Measurements'!G35="","",'Measurements'!G35)</f>
        <v>-22.79</v>
      </c>
      <c r="H35" s="62">
        <f>IF(COUNT(F35:G35)=2,G35-F35,"")</f>
        <v>-2.52</v>
      </c>
      <c r="I35" s="62">
        <f>IF(H35="","",POWER(10,H35/20))</f>
        <v>0.7481695005111541</v>
      </c>
      <c r="J35" s="62">
        <f>'Model'!G12</f>
        <v>0.320796306240392</v>
      </c>
      <c r="K35" s="62">
        <f>'Model'!H12</f>
        <v>0.491177128088663</v>
      </c>
      <c r="L35" s="62">
        <f>'Model'!I12</f>
        <v>0.18801543815591</v>
      </c>
      <c r="M35" s="62">
        <f>'Model'!J12</f>
        <v>0.999988872484965</v>
      </c>
      <c r="N35" s="62">
        <f>IF(I35="","",L35-POWER(I35,2)*M35)</f>
        <v>-0.371735934628073</v>
      </c>
      <c r="O35" s="62">
        <f>IF(N35="","",POWER(K35,2)-4*J35*N35)</f>
        <v>0.718261030059449</v>
      </c>
      <c r="P35" s="62">
        <f>IF(O35="","",(-K35+SQRT(O35))/(2*J35))</f>
        <v>0.555376862309784</v>
      </c>
      <c r="Q35" s="62">
        <f>IF(P35="","",20*LOG10(P35))</f>
        <v>-5.1082443491333</v>
      </c>
      <c r="R35" s="63">
        <f>IF(Q35="","",-4*(Q35+10))</f>
        <v>-19.5670226034668</v>
      </c>
    </row>
    <row r="36" ht="13.55" customHeight="1">
      <c r="A36" t="s" s="52">
        <f>'Measurements'!A36</f>
        <v>78</v>
      </c>
      <c r="B36" s="53">
        <f>'Measurements'!B36</f>
        <v>8</v>
      </c>
      <c r="C36" s="53">
        <f>'Measurements'!C36</f>
        <v>6727</v>
      </c>
      <c r="D36" s="64">
        <f>'Measurements'!D36</f>
        <v>95</v>
      </c>
      <c r="E36" s="64">
        <f>'Measurements'!E36</f>
        <v>-9.85</v>
      </c>
      <c r="F36" s="64">
        <f>IF('Measurements'!F36="","",'Measurements'!F36)</f>
        <v>-10.27</v>
      </c>
      <c r="G36" s="64">
        <f>IF('Measurements'!G36="","",'Measurements'!G36)</f>
        <v>-13.77</v>
      </c>
      <c r="H36" s="65">
        <f>IF(COUNT(F36:G36)=2,G36-F36,"")</f>
        <v>-3.5</v>
      </c>
      <c r="I36" s="65">
        <f>IF(H36="","",POWER(10,H36/20))</f>
        <v>0.668343917568615</v>
      </c>
      <c r="J36" s="65">
        <f>'Model'!G12</f>
        <v>0.320796306240392</v>
      </c>
      <c r="K36" s="65">
        <f>'Model'!H12</f>
        <v>0.491177128088663</v>
      </c>
      <c r="L36" s="65">
        <f>'Model'!I12</f>
        <v>0.18801543815591</v>
      </c>
      <c r="M36" s="65">
        <f>'Model'!J12</f>
        <v>0.999988872484965</v>
      </c>
      <c r="N36" s="65">
        <f>IF(I36="","",L36-POWER(I36,2)*M36)</f>
        <v>-0.258663183516666</v>
      </c>
      <c r="O36" s="65">
        <f>IF(N36="","",POWER(K36,2)-4*J36*N36)</f>
        <v>0.573167746487535</v>
      </c>
      <c r="P36" s="65">
        <f>IF(O36="","",(-K36+SQRT(O36))/(2*J36))</f>
        <v>0.414439466674619</v>
      </c>
      <c r="Q36" s="65">
        <f>IF(P36="","",20*LOG10(P36))</f>
        <v>-7.65077787689451</v>
      </c>
      <c r="R36" s="66">
        <f>IF(Q36="","",-4*(Q36+10))</f>
        <v>-9.39688849242196</v>
      </c>
    </row>
  </sheetData>
  <mergeCells count="1">
    <mergeCell ref="A1:R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F12"/>
  <sheetViews>
    <sheetView workbookViewId="0" showGridLines="0" defaultGridColor="1"/>
  </sheetViews>
  <sheetFormatPr defaultColWidth="8.83333" defaultRowHeight="15" customHeight="1" outlineLevelRow="0" outlineLevelCol="0"/>
  <cols>
    <col min="1" max="1" width="10" style="67" customWidth="1"/>
    <col min="2" max="2" width="20" style="67" customWidth="1"/>
    <col min="3" max="4" width="30" style="67" customWidth="1"/>
    <col min="5" max="6" width="38" style="67" customWidth="1"/>
    <col min="7" max="16384" width="8.85156" style="67" customWidth="1"/>
  </cols>
  <sheetData>
    <row r="1" ht="8.5" customHeight="1">
      <c r="A1" t="s" s="7">
        <v>97</v>
      </c>
      <c r="B1" s="8"/>
      <c r="C1" s="8"/>
      <c r="D1" s="8"/>
      <c r="E1" s="8"/>
      <c r="F1" s="9"/>
    </row>
    <row r="2" ht="10.45" customHeight="1">
      <c r="A2" s="10"/>
      <c r="B2" s="11"/>
      <c r="C2" s="11"/>
      <c r="D2" s="11"/>
      <c r="E2" s="11"/>
      <c r="F2" s="12"/>
    </row>
    <row r="3" ht="13.55" customHeight="1">
      <c r="A3" s="38"/>
      <c r="B3" s="39"/>
      <c r="C3" s="39"/>
      <c r="D3" s="39"/>
      <c r="E3" s="39"/>
      <c r="F3" s="40"/>
    </row>
    <row r="4" ht="13.55" customHeight="1">
      <c r="A4" t="s" s="26">
        <v>40</v>
      </c>
      <c r="B4" t="s" s="41">
        <v>98</v>
      </c>
      <c r="C4" t="s" s="41">
        <v>99</v>
      </c>
      <c r="D4" t="s" s="41">
        <v>100</v>
      </c>
      <c r="E4" t="s" s="41">
        <v>101</v>
      </c>
      <c r="F4" t="s" s="27">
        <v>102</v>
      </c>
    </row>
    <row r="5" ht="13.55" customHeight="1">
      <c r="A5" s="68">
        <v>1</v>
      </c>
      <c r="B5" s="43">
        <v>177</v>
      </c>
      <c r="C5" t="s" s="69">
        <v>103</v>
      </c>
      <c r="D5" t="s" s="69">
        <v>104</v>
      </c>
      <c r="E5" t="s" s="69">
        <v>105</v>
      </c>
      <c r="F5" t="s" s="70">
        <v>106</v>
      </c>
    </row>
    <row r="6" ht="13.55" customHeight="1">
      <c r="A6" s="71">
        <v>2</v>
      </c>
      <c r="B6" s="48">
        <v>297</v>
      </c>
      <c r="C6" t="s" s="72">
        <v>103</v>
      </c>
      <c r="D6" t="s" s="72">
        <v>104</v>
      </c>
      <c r="E6" t="s" s="72">
        <v>107</v>
      </c>
      <c r="F6" t="s" s="73">
        <v>106</v>
      </c>
    </row>
    <row r="7" ht="13.55" customHeight="1">
      <c r="A7" s="71">
        <v>3</v>
      </c>
      <c r="B7" s="48">
        <v>500</v>
      </c>
      <c r="C7" t="s" s="72">
        <v>103</v>
      </c>
      <c r="D7" t="s" s="72">
        <v>104</v>
      </c>
      <c r="E7" t="s" s="72">
        <v>108</v>
      </c>
      <c r="F7" t="s" s="73">
        <v>106</v>
      </c>
    </row>
    <row r="8" ht="13.55" customHeight="1">
      <c r="A8" s="71">
        <v>4</v>
      </c>
      <c r="B8" s="48">
        <v>841</v>
      </c>
      <c r="C8" t="s" s="72">
        <v>103</v>
      </c>
      <c r="D8" t="s" s="72">
        <v>104</v>
      </c>
      <c r="E8" t="s" s="72">
        <v>109</v>
      </c>
      <c r="F8" t="s" s="73">
        <v>106</v>
      </c>
    </row>
    <row r="9" ht="13.55" customHeight="1">
      <c r="A9" s="71">
        <v>5</v>
      </c>
      <c r="B9" s="48">
        <v>1414</v>
      </c>
      <c r="C9" t="s" s="72">
        <v>103</v>
      </c>
      <c r="D9" t="s" s="72">
        <v>104</v>
      </c>
      <c r="E9" t="s" s="72">
        <v>110</v>
      </c>
      <c r="F9" t="s" s="73">
        <v>106</v>
      </c>
    </row>
    <row r="10" ht="13.55" customHeight="1">
      <c r="A10" s="71">
        <v>6</v>
      </c>
      <c r="B10" s="48">
        <v>2378</v>
      </c>
      <c r="C10" t="s" s="72">
        <v>103</v>
      </c>
      <c r="D10" t="s" s="72">
        <v>104</v>
      </c>
      <c r="E10" t="s" s="72">
        <v>111</v>
      </c>
      <c r="F10" t="s" s="73">
        <v>106</v>
      </c>
    </row>
    <row r="11" ht="13.55" customHeight="1">
      <c r="A11" s="71">
        <v>7</v>
      </c>
      <c r="B11" s="48">
        <v>4000</v>
      </c>
      <c r="C11" t="s" s="72">
        <v>103</v>
      </c>
      <c r="D11" t="s" s="72">
        <v>104</v>
      </c>
      <c r="E11" t="s" s="72">
        <v>112</v>
      </c>
      <c r="F11" t="s" s="73">
        <v>106</v>
      </c>
    </row>
    <row r="12" ht="13.55" customHeight="1">
      <c r="A12" s="74">
        <v>8</v>
      </c>
      <c r="B12" s="53">
        <v>6727</v>
      </c>
      <c r="C12" t="s" s="75">
        <v>103</v>
      </c>
      <c r="D12" t="s" s="75">
        <v>104</v>
      </c>
      <c r="E12" t="s" s="75">
        <v>113</v>
      </c>
      <c r="F12" t="s" s="76">
        <v>106</v>
      </c>
    </row>
  </sheetData>
  <mergeCells count="1">
    <mergeCell ref="A1:F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M12"/>
  <sheetViews>
    <sheetView workbookViewId="0" showGridLines="0" defaultGridColor="1"/>
  </sheetViews>
  <sheetFormatPr defaultColWidth="8.83333" defaultRowHeight="15" customHeight="1" outlineLevelRow="0" outlineLevelCol="0"/>
  <cols>
    <col min="1" max="13" width="18" style="77" customWidth="1"/>
    <col min="14" max="16384" width="8.85156" style="77" customWidth="1"/>
  </cols>
  <sheetData>
    <row r="1" ht="8.5" customHeight="1">
      <c r="A1" t="s" s="7">
        <v>115</v>
      </c>
      <c r="B1" s="8"/>
      <c r="C1" s="8"/>
      <c r="D1" s="8"/>
      <c r="E1" s="8"/>
      <c r="F1" s="8"/>
      <c r="G1" s="8"/>
      <c r="H1" s="8"/>
      <c r="I1" s="8"/>
      <c r="J1" s="8"/>
      <c r="K1" s="8"/>
      <c r="L1" s="8"/>
      <c r="M1" s="9"/>
    </row>
    <row r="2" ht="10.45" customHeight="1">
      <c r="A2" s="10"/>
      <c r="B2" s="11"/>
      <c r="C2" s="11"/>
      <c r="D2" s="11"/>
      <c r="E2" s="11"/>
      <c r="F2" s="11"/>
      <c r="G2" s="11"/>
      <c r="H2" s="11"/>
      <c r="I2" s="11"/>
      <c r="J2" s="11"/>
      <c r="K2" s="11"/>
      <c r="L2" s="11"/>
      <c r="M2" s="12"/>
    </row>
    <row r="3" ht="13.55" customHeight="1">
      <c r="A3" s="38"/>
      <c r="B3" s="39"/>
      <c r="C3" s="39"/>
      <c r="D3" s="39"/>
      <c r="E3" s="39"/>
      <c r="F3" s="39"/>
      <c r="G3" s="39"/>
      <c r="H3" s="39"/>
      <c r="I3" s="39"/>
      <c r="J3" s="39"/>
      <c r="K3" s="39"/>
      <c r="L3" s="39"/>
      <c r="M3" s="40"/>
    </row>
    <row r="4" ht="13.55" customHeight="1">
      <c r="A4" t="s" s="26">
        <v>40</v>
      </c>
      <c r="B4" t="s" s="41">
        <v>41</v>
      </c>
      <c r="C4" t="s" s="41">
        <v>116</v>
      </c>
      <c r="D4" t="s" s="41">
        <v>117</v>
      </c>
      <c r="E4" t="s" s="41">
        <v>118</v>
      </c>
      <c r="F4" t="s" s="41">
        <v>119</v>
      </c>
      <c r="G4" t="s" s="41">
        <v>120</v>
      </c>
      <c r="H4" t="s" s="41">
        <v>121</v>
      </c>
      <c r="I4" t="s" s="41">
        <v>122</v>
      </c>
      <c r="J4" t="s" s="41">
        <v>123</v>
      </c>
      <c r="K4" t="s" s="41">
        <v>124</v>
      </c>
      <c r="L4" t="s" s="41">
        <v>125</v>
      </c>
      <c r="M4" t="s" s="27">
        <v>126</v>
      </c>
    </row>
    <row r="5" ht="13.55" customHeight="1">
      <c r="A5" s="68">
        <v>1</v>
      </c>
      <c r="B5" s="43">
        <v>177</v>
      </c>
      <c r="C5" s="78">
        <v>0.601711538560509</v>
      </c>
      <c r="D5" s="78">
        <v>0.427356450278327</v>
      </c>
      <c r="E5" s="78">
        <v>0.212054909118333</v>
      </c>
      <c r="F5" s="78">
        <v>0.153891787784194</v>
      </c>
      <c r="G5" s="78">
        <v>0.544690311231348</v>
      </c>
      <c r="H5" s="78">
        <v>0.386725067558679</v>
      </c>
      <c r="I5" s="78">
        <v>0.0686499668285995</v>
      </c>
      <c r="J5" s="78">
        <v>1.00006534561863</v>
      </c>
      <c r="K5" s="78">
        <v>0.738031375506047</v>
      </c>
      <c r="L5" s="78">
        <v>0.262011386830037</v>
      </c>
      <c r="M5" s="79">
        <v>-0.585325033534245</v>
      </c>
    </row>
    <row r="6" ht="13.55" customHeight="1">
      <c r="A6" s="71">
        <v>2</v>
      </c>
      <c r="B6" s="48">
        <v>297</v>
      </c>
      <c r="C6" s="80">
        <v>-0.545566883742918</v>
      </c>
      <c r="D6" s="80">
        <v>0.00586685851988578</v>
      </c>
      <c r="E6" s="80">
        <v>-0.454433413584747</v>
      </c>
      <c r="F6" s="80">
        <v>0.00464714402235191</v>
      </c>
      <c r="G6" s="80">
        <v>0.297677644665851</v>
      </c>
      <c r="H6" s="80">
        <v>0.495902170909175</v>
      </c>
      <c r="I6" s="80">
        <v>0.20653132332985</v>
      </c>
      <c r="J6" s="80">
        <v>1.00011113890488</v>
      </c>
      <c r="K6" s="80">
        <v>0.545598428027291</v>
      </c>
      <c r="L6" s="80">
        <v>0.454457174362833</v>
      </c>
      <c r="M6" s="81">
        <v>-0.0302176201231123</v>
      </c>
    </row>
    <row r="7" ht="13.55" customHeight="1">
      <c r="A7" s="71">
        <v>3</v>
      </c>
      <c r="B7" s="48">
        <v>500</v>
      </c>
      <c r="C7" s="80">
        <v>-0.053611568070757</v>
      </c>
      <c r="D7" s="80">
        <v>-0.52048189070201</v>
      </c>
      <c r="E7" s="80">
        <v>-0.0486018690362726</v>
      </c>
      <c r="F7" s="80">
        <v>-0.474304512841058</v>
      </c>
      <c r="G7" s="80">
        <v>0.273775598779745</v>
      </c>
      <c r="H7" s="80">
        <v>0.498945064044427</v>
      </c>
      <c r="I7" s="80">
        <v>0.227326912575212</v>
      </c>
      <c r="J7" s="80">
        <v>1.00004757539938</v>
      </c>
      <c r="K7" s="80">
        <v>0.523235700979726</v>
      </c>
      <c r="L7" s="80">
        <v>0.476788121260599</v>
      </c>
      <c r="M7" s="81">
        <v>-0.0302738704988089</v>
      </c>
    </row>
    <row r="8" ht="13.55" customHeight="1">
      <c r="A8" s="71">
        <v>4</v>
      </c>
      <c r="B8" s="48">
        <v>841</v>
      </c>
      <c r="C8" s="80">
        <v>0.398565820176756</v>
      </c>
      <c r="D8" s="80">
        <v>-0.334760432519659</v>
      </c>
      <c r="E8" s="80">
        <v>0.367354830716093</v>
      </c>
      <c r="F8" s="80">
        <v>-0.308169350889053</v>
      </c>
      <c r="G8" s="80">
        <v>0.270919260193919</v>
      </c>
      <c r="H8" s="80">
        <v>0.49915596918635</v>
      </c>
      <c r="I8" s="80">
        <v>0.22991792047783</v>
      </c>
      <c r="J8" s="80">
        <v>0.999993149858099</v>
      </c>
      <c r="K8" s="80">
        <v>0.520499049176767</v>
      </c>
      <c r="L8" s="80">
        <v>0.479497570877924</v>
      </c>
      <c r="M8" s="81">
        <v>-0.0344566969968731</v>
      </c>
    </row>
    <row r="9" ht="13.55" customHeight="1">
      <c r="A9" s="71">
        <v>5</v>
      </c>
      <c r="B9" s="48">
        <v>1414</v>
      </c>
      <c r="C9" s="80">
        <v>0.519957383039742</v>
      </c>
      <c r="D9" s="80">
        <v>0.0374708904809323</v>
      </c>
      <c r="E9" s="80">
        <v>0.477425362369096</v>
      </c>
      <c r="F9" s="80">
        <v>0.0346908245540298</v>
      </c>
      <c r="G9" s="80">
        <v>0.271759747810971</v>
      </c>
      <c r="H9" s="80">
        <v>0.499081476203585</v>
      </c>
      <c r="I9" s="80">
        <v>0.229138429941501</v>
      </c>
      <c r="J9" s="80">
        <v>0.999979653956057</v>
      </c>
      <c r="K9" s="80">
        <v>0.52130581026013</v>
      </c>
      <c r="L9" s="80">
        <v>0.478684060672069</v>
      </c>
      <c r="M9" s="81">
        <v>-0.0340267287916784</v>
      </c>
    </row>
    <row r="10" ht="13.55" customHeight="1">
      <c r="A10" s="71">
        <v>6</v>
      </c>
      <c r="B10" s="48">
        <v>2378</v>
      </c>
      <c r="C10" s="80">
        <v>0.3518679483824</v>
      </c>
      <c r="D10" s="80">
        <v>0.389571315641356</v>
      </c>
      <c r="E10" s="80">
        <v>0.318224957498696</v>
      </c>
      <c r="F10" s="80">
        <v>0.352684911398096</v>
      </c>
      <c r="G10" s="80">
        <v>0.275576863069376</v>
      </c>
      <c r="H10" s="80">
        <v>0.498738175718708</v>
      </c>
      <c r="I10" s="80">
        <v>0.22565377030293</v>
      </c>
      <c r="J10" s="80">
        <v>0.999968809091014</v>
      </c>
      <c r="K10" s="80">
        <v>0.52495415330234</v>
      </c>
      <c r="L10" s="80">
        <v>0.475030283564037</v>
      </c>
      <c r="M10" s="81">
        <v>-0.0292260380243497</v>
      </c>
    </row>
    <row r="11" ht="13.55" customHeight="1">
      <c r="A11" s="71">
        <v>7</v>
      </c>
      <c r="B11" s="48">
        <v>4000</v>
      </c>
      <c r="C11" s="80">
        <v>-0.102683496147039</v>
      </c>
      <c r="D11" s="80">
        <v>0.52531840867333</v>
      </c>
      <c r="E11" s="80">
        <v>-0.0892349953370325</v>
      </c>
      <c r="F11" s="80">
        <v>0.456077292069936</v>
      </c>
      <c r="G11" s="80">
        <v>0.286503330872058</v>
      </c>
      <c r="H11" s="80">
        <v>0.497497517204182</v>
      </c>
      <c r="I11" s="80">
        <v>0.215969380734646</v>
      </c>
      <c r="J11" s="80">
        <v>0.999970228810886</v>
      </c>
      <c r="K11" s="80">
        <v>0.535260059104038</v>
      </c>
      <c r="L11" s="80">
        <v>0.464725059292745</v>
      </c>
      <c r="M11" s="81">
        <v>-0.0104053996485226</v>
      </c>
    </row>
    <row r="12" ht="13.55" customHeight="1">
      <c r="A12" s="74">
        <v>8</v>
      </c>
      <c r="B12" s="53">
        <v>6727</v>
      </c>
      <c r="C12" s="82">
        <v>-0.562198317818678</v>
      </c>
      <c r="D12" s="82">
        <v>0.0687703255935333</v>
      </c>
      <c r="E12" s="82">
        <v>-0.430191002460839</v>
      </c>
      <c r="F12" s="82">
        <v>0.0543243919215684</v>
      </c>
      <c r="G12" s="82">
        <v>0.320796306240392</v>
      </c>
      <c r="H12" s="82">
        <v>0.491177128088663</v>
      </c>
      <c r="I12" s="82">
        <v>0.18801543815591</v>
      </c>
      <c r="J12" s="82">
        <v>0.999988872484965</v>
      </c>
      <c r="K12" s="82">
        <v>0.5663888295512119</v>
      </c>
      <c r="L12" s="82">
        <v>0.433607470133887</v>
      </c>
      <c r="M12" s="83">
        <v>0.22319835880083</v>
      </c>
    </row>
  </sheetData>
  <mergeCells count="1">
    <mergeCell ref="A1:M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