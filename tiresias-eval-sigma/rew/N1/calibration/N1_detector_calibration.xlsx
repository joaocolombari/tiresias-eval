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ad106f68c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310a522dabc0420b"/>
    <x:sheet xmlns:r="http://schemas.openxmlformats.org/officeDocument/2006/relationships" name="Measurements" sheetId="2" r:id="Rae1c99882780498d"/>
    <x:sheet xmlns:r="http://schemas.openxmlformats.org/officeDocument/2006/relationships" name="Analysis" sheetId="3" r:id="R5e2cc359a2784a2b"/>
    <x:sheet xmlns:r="http://schemas.openxmlformats.org/officeDocument/2006/relationships" name="Targets" sheetId="4" r:id="R74c010dcb91f4177"/>
    <x:sheet xmlns:r="http://schemas.openxmlformats.org/officeDocument/2006/relationships" name="Model" sheetId="5" r:id="Rdce276294b28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00"/>
    <x:numFmt numFmtId="203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269d91846495a" /><Relationship Type="http://schemas.openxmlformats.org/officeDocument/2006/relationships/theme" Target="/xl/theme/theme1.xml" Id="R135a24773f0641c0" /><Relationship Type="http://schemas.openxmlformats.org/officeDocument/2006/relationships/sharedStrings" Target="/xl/sharedStrings.xml" Id="R43eb24816b3043ff" /><Relationship Type="http://schemas.openxmlformats.org/officeDocument/2006/relationships/worksheet" Target="/xl/worksheets/sheet1.xml" Id="R310a522dabc0420b" /><Relationship Type="http://schemas.openxmlformats.org/officeDocument/2006/relationships/worksheet" Target="/xl/worksheets/sheet2.xml" Id="Rae1c99882780498d" /><Relationship Type="http://schemas.openxmlformats.org/officeDocument/2006/relationships/worksheet" Target="/xl/worksheets/sheet3.xml" Id="R5e2cc359a2784a2b" /><Relationship Type="http://schemas.openxmlformats.org/officeDocument/2006/relationships/worksheet" Target="/xl/worksheets/sheet4.xml" Id="R74c010dcb91f4177" /><Relationship Type="http://schemas.openxmlformats.org/officeDocument/2006/relationships/worksheet" Target="/xl/worksheets/sheet5.xml" Id="Rdce276294b28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8" customHeight="1">
      <x:c r="A1" s="3" t="str">
        <x:v>N1 — calibração dos detectores B7 e B8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Objetivo</x:v>
      </x:c>
      <x:c r="B4" s="9" t="str">
        <x:v>Identificar o nível interno dos detectores RMS de B7 e B8 e gerar as LUTs N1 corrigidas.</x:v>
      </x:c>
    </x:row>
    <x:row r="5">
      <x:c r="A5" s="10" t="str">
        <x:v>Estado inicial</x:v>
      </x:c>
      <x:c r="B5" s="11" t="str">
        <x:v>Execute Link Compile Download. Todas as LUTs B1–B8 e os três biases devem estar em unity.</x:v>
      </x:c>
    </x:row>
    <x:row r="6">
      <x:c r="A6" s="10" t="str">
        <x:v>B7</x:v>
      </x:c>
      <x:c r="B6" s="11" t="str">
        <x:v>Seno estacionário de 4 kHz; anote apenas a componente de 4 kHz no REW.</x:v>
      </x:c>
    </x:row>
    <x:row r="7">
      <x:c r="A7" s="10" t="str">
        <x:v>B8</x:v>
      </x:c>
      <x:c r="B7" s="11" t="str">
        <x:v>Seno estacionário de 6,727 kHz; anote apenas a componente de 6,727 kHz no REW.</x:v>
      </x:c>
    </x:row>
    <x:row r="8">
      <x:c r="A8" s="10" t="str">
        <x:v>Unity</x:v>
      </x:c>
      <x:c r="B8" s="11" t="str">
        <x:v>Meça os seis níveis indicados antes de carregar a LUT de identificação.</x:v>
      </x:c>
    </x:row>
    <x:row r="9">
      <x:c r="A9" s="10" t="str">
        <x:v>Identificação</x:v>
      </x:c>
      <x:c r="B9" s="11" t="str">
        <x:v>Carregue B7_detector_identification.sss ou B8_detector_identification.sss uma única vez e repita os seis níveis.</x:v>
      </x:c>
    </x:row>
    <x:row r="10">
      <x:c r="A10" s="10" t="str">
        <x:v>Estabilização</x:v>
      </x:c>
      <x:c r="B10" s="11" t="str">
        <x:v>Aguarde pelo menos 2 s após mudar frequência ou nível antes de registrar a componente espectral.</x:v>
      </x:c>
    </x:row>
    <x:row r="11">
      <x:c r="A11" s="10" t="str">
        <x:v>Restauração</x:v>
      </x:c>
      <x:c r="B11" s="11" t="str">
        <x:v>Use detector_identification_restore_all_unity.sss ou Link Compile Download entre B7 e B8.</x:v>
      </x:c>
    </x:row>
    <x:row r="12">
      <x:c r="A12" s="12" t="str">
        <x:v>Importante</x:v>
      </x:c>
      <x:c r="B12" s="13" t="str">
        <x:v>Não use o sweep para preencher esta planilha. As células amarelas são as únicas entradas manuais.</x:v>
      </x:c>
    </x:row>
    <x:row r="14">
      <x:c r="A14" s="20" t="str">
        <x:v>Script</x:v>
      </x:c>
      <x:c r="B14" s="21" t="str">
        <x:v>Caminho relativo</x:v>
      </x:c>
    </x:row>
    <x:row r="15">
      <x:c r="A15" s="7" t="str">
        <x:v>B7 identificação</x:v>
      </x:c>
      <x:c r="B15" s="7" t="str">
        <x:v>scripts/generated/detector-identification/B7_detector_identification.sss</x:v>
      </x:c>
    </x:row>
    <x:row r="16">
      <x:c r="A16" s="7" t="str">
        <x:v>B8 identificação</x:v>
      </x:c>
      <x:c r="B16" s="7" t="str">
        <x:v>scripts/generated/detector-identification/B8_detector_identification.sss</x:v>
      </x:c>
    </x:row>
    <x:row r="17">
      <x:c r="A17" s="7" t="str">
        <x:v>Restaurar unity</x:v>
      </x:c>
      <x:c r="B17" s="7" t="str">
        <x:v>scripts/generated/detector-identification/detector_identification_restore_all_unity.sss</x:v>
      </x:c>
    </x:row>
    <x:row r="18">
      <x:c r="A18" s="7" t="str">
        <x:v>Aplicar N1 final</x:v>
      </x:c>
      <x:c r="B18" s="7" t="str">
        <x:v>scripts/generated/N1/N1_apply_prescription.sss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6" hidden="0" customWidth="1"/>
    <x:col min="4" max="4" width="24" hidden="0" customWidth="1"/>
    <x:col min="5" max="5" width="20" hidden="0" customWidth="1"/>
    <x:col min="6" max="6" width="22" hidden="0" customWidth="1"/>
    <x:col min="7" max="7" width="30" hidden="0" customWidth="1"/>
    <x:col min="8" max="8" width="42" hidden="0" customWidth="1"/>
  </x:cols>
  <x:sheetData>
    <x:row r="1">
      <x:c r="A1" s="3" t="str">
        <x:v>Medições brutas — preencher somente F, G e H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20" t="str">
        <x:v>test_id</x:v>
      </x:c>
      <x:c r="B4" s="24" t="str">
        <x:v>band</x:v>
      </x:c>
      <x:c r="C4" s="24" t="str">
        <x:v>frequency_hz</x:v>
      </x:c>
      <x:c r="D4" s="24" t="str">
        <x:v>equivalent_level_db_spl</x:v>
      </x:c>
      <x:c r="E4" s="24" t="str">
        <x:v>rew_dac_output_dbv</x:v>
      </x:c>
      <x:c r="F4" s="24" t="str">
        <x:v>unity_component_dbv</x:v>
      </x:c>
      <x:c r="G4" s="24" t="str">
        <x:v>identification_component_dbv</x:v>
      </x:c>
      <x:c r="H4" s="21" t="str">
        <x:v>notes</x:v>
      </x:c>
    </x:row>
    <x:row r="5">
      <x:c r="A5" t="str">
        <x:v>B7_45</x:v>
      </x:c>
      <x:c r="B5" s="27" t="n">
        <x:v>7</x:v>
      </x:c>
      <x:c r="C5" s="27" t="n">
        <x:v>4000</x:v>
      </x:c>
      <x:c r="D5" s="28" t="n">
        <x:v>45</x:v>
      </x:c>
      <x:c r="E5" s="28" t="n">
        <x:v>-59.85</x:v>
      </x:c>
      <x:c r="F5" s="26"/>
      <x:c r="G5" s="26"/>
      <x:c r="H5" s="25" t="str"/>
    </x:row>
    <x:row r="6">
      <x:c r="A6" t="str">
        <x:v>B7_55</x:v>
      </x:c>
      <x:c r="B6" s="27" t="n">
        <x:v>7</x:v>
      </x:c>
      <x:c r="C6" s="27" t="n">
        <x:v>4000</x:v>
      </x:c>
      <x:c r="D6" s="28" t="n">
        <x:v>55</x:v>
      </x:c>
      <x:c r="E6" s="28" t="n">
        <x:v>-49.85</x:v>
      </x:c>
      <x:c r="F6" s="26"/>
      <x:c r="G6" s="26"/>
      <x:c r="H6" s="25" t="str"/>
    </x:row>
    <x:row r="7">
      <x:c r="A7" t="str">
        <x:v>B7_65</x:v>
      </x:c>
      <x:c r="B7" s="27" t="n">
        <x:v>7</x:v>
      </x:c>
      <x:c r="C7" s="27" t="n">
        <x:v>4000</x:v>
      </x:c>
      <x:c r="D7" s="28" t="n">
        <x:v>65</x:v>
      </x:c>
      <x:c r="E7" s="28" t="n">
        <x:v>-39.85</x:v>
      </x:c>
      <x:c r="F7" s="26"/>
      <x:c r="G7" s="26"/>
      <x:c r="H7" s="25" t="str"/>
    </x:row>
    <x:row r="8">
      <x:c r="A8" t="str">
        <x:v>B7_75</x:v>
      </x:c>
      <x:c r="B8" s="27" t="n">
        <x:v>7</x:v>
      </x:c>
      <x:c r="C8" s="27" t="n">
        <x:v>4000</x:v>
      </x:c>
      <x:c r="D8" s="28" t="n">
        <x:v>75</x:v>
      </x:c>
      <x:c r="E8" s="28" t="n">
        <x:v>-29.85</x:v>
      </x:c>
      <x:c r="F8" s="26"/>
      <x:c r="G8" s="26"/>
      <x:c r="H8" s="25" t="str"/>
    </x:row>
    <x:row r="9">
      <x:c r="A9" t="str">
        <x:v>B7_85</x:v>
      </x:c>
      <x:c r="B9" s="27" t="n">
        <x:v>7</x:v>
      </x:c>
      <x:c r="C9" s="27" t="n">
        <x:v>4000</x:v>
      </x:c>
      <x:c r="D9" s="28" t="n">
        <x:v>85</x:v>
      </x:c>
      <x:c r="E9" s="28" t="n">
        <x:v>-19.85</x:v>
      </x:c>
      <x:c r="F9" s="26"/>
      <x:c r="G9" s="26"/>
      <x:c r="H9" s="25" t="str"/>
    </x:row>
    <x:row r="10">
      <x:c r="A10" t="str">
        <x:v>B7_95</x:v>
      </x:c>
      <x:c r="B10" s="27" t="n">
        <x:v>7</x:v>
      </x:c>
      <x:c r="C10" s="27" t="n">
        <x:v>4000</x:v>
      </x:c>
      <x:c r="D10" s="28" t="n">
        <x:v>95</x:v>
      </x:c>
      <x:c r="E10" s="28" t="n">
        <x:v>-9.85</x:v>
      </x:c>
      <x:c r="F10" s="26"/>
      <x:c r="G10" s="26"/>
      <x:c r="H10" s="25" t="str"/>
    </x:row>
    <x:row r="11">
      <x:c r="A11" t="str">
        <x:v>B8_45</x:v>
      </x:c>
      <x:c r="B11" s="27" t="n">
        <x:v>8</x:v>
      </x:c>
      <x:c r="C11" s="27" t="n">
        <x:v>6727</x:v>
      </x:c>
      <x:c r="D11" s="28" t="n">
        <x:v>45</x:v>
      </x:c>
      <x:c r="E11" s="28" t="n">
        <x:v>-59.85</x:v>
      </x:c>
      <x:c r="F11" s="26"/>
      <x:c r="G11" s="26"/>
      <x:c r="H11" s="25" t="str"/>
    </x:row>
    <x:row r="12">
      <x:c r="A12" t="str">
        <x:v>B8_55</x:v>
      </x:c>
      <x:c r="B12" s="27" t="n">
        <x:v>8</x:v>
      </x:c>
      <x:c r="C12" s="27" t="n">
        <x:v>6727</x:v>
      </x:c>
      <x:c r="D12" s="28" t="n">
        <x:v>55</x:v>
      </x:c>
      <x:c r="E12" s="28" t="n">
        <x:v>-49.85</x:v>
      </x:c>
      <x:c r="F12" s="26"/>
      <x:c r="G12" s="26"/>
      <x:c r="H12" s="25" t="str"/>
    </x:row>
    <x:row r="13">
      <x:c r="A13" t="str">
        <x:v>B8_65</x:v>
      </x:c>
      <x:c r="B13" s="27" t="n">
        <x:v>8</x:v>
      </x:c>
      <x:c r="C13" s="27" t="n">
        <x:v>6727</x:v>
      </x:c>
      <x:c r="D13" s="28" t="n">
        <x:v>65</x:v>
      </x:c>
      <x:c r="E13" s="28" t="n">
        <x:v>-39.85</x:v>
      </x:c>
      <x:c r="F13" s="26"/>
      <x:c r="G13" s="26"/>
      <x:c r="H13" s="25" t="str"/>
    </x:row>
    <x:row r="14">
      <x:c r="A14" t="str">
        <x:v>B8_75</x:v>
      </x:c>
      <x:c r="B14" s="27" t="n">
        <x:v>8</x:v>
      </x:c>
      <x:c r="C14" s="27" t="n">
        <x:v>6727</x:v>
      </x:c>
      <x:c r="D14" s="28" t="n">
        <x:v>75</x:v>
      </x:c>
      <x:c r="E14" s="28" t="n">
        <x:v>-29.85</x:v>
      </x:c>
      <x:c r="F14" s="26"/>
      <x:c r="G14" s="26"/>
      <x:c r="H14" s="25" t="str"/>
    </x:row>
    <x:row r="15">
      <x:c r="A15" t="str">
        <x:v>B8_85</x:v>
      </x:c>
      <x:c r="B15" s="27" t="n">
        <x:v>8</x:v>
      </x:c>
      <x:c r="C15" s="27" t="n">
        <x:v>6727</x:v>
      </x:c>
      <x:c r="D15" s="28" t="n">
        <x:v>85</x:v>
      </x:c>
      <x:c r="E15" s="28" t="n">
        <x:v>-19.85</x:v>
      </x:c>
      <x:c r="F15" s="26"/>
      <x:c r="G15" s="26"/>
      <x:c r="H15" s="25" t="str"/>
    </x:row>
    <x:row r="16">
      <x:c r="A16" t="str">
        <x:v>B8_95</x:v>
      </x:c>
      <x:c r="B16" s="27" t="n">
        <x:v>8</x:v>
      </x:c>
      <x:c r="C16" s="27" t="n">
        <x:v>6727</x:v>
      </x:c>
      <x:c r="D16" s="28" t="n">
        <x:v>95</x:v>
      </x:c>
      <x:c r="E16" s="28" t="n">
        <x:v>-9.85</x:v>
      </x:c>
      <x:c r="F16" s="26"/>
      <x:c r="G16" s="26"/>
      <x:c r="H16" s="25" t="str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3" t="str">
        <x:v>Análise automática da identificação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>
      <x:c r="A4" s="20" t="str">
        <x:v>test_id</x:v>
      </x:c>
      <x:c r="B4" s="24" t="str">
        <x:v>band</x:v>
      </x:c>
      <x:c r="C4" s="24" t="str">
        <x:v>frequency_hz</x:v>
      </x:c>
      <x:c r="D4" s="24" t="str">
        <x:v>level_db_spl</x:v>
      </x:c>
      <x:c r="E4" s="24" t="str">
        <x:v>dac_dbv</x:v>
      </x:c>
      <x:c r="F4" s="24" t="str">
        <x:v>unity_dbv</x:v>
      </x:c>
      <x:c r="G4" s="24" t="str">
        <x:v>ident_dbv</x:v>
      </x:c>
      <x:c r="H4" s="24" t="str">
        <x:v>insertion_db</x:v>
      </x:c>
      <x:c r="I4" s="24" t="str">
        <x:v>output_ratio</x:v>
      </x:c>
      <x:c r="J4" s="24" t="str">
        <x:v>a</x:v>
      </x:c>
      <x:c r="K4" s="24" t="str">
        <x:v>b</x:v>
      </x:c>
      <x:c r="L4" s="24" t="str">
        <x:v>remainder_sq</x:v>
      </x:c>
      <x:c r="M4" s="24" t="str">
        <x:v>unity_sq</x:v>
      </x:c>
      <x:c r="N4" s="24" t="str">
        <x:v>quadratic_c</x:v>
      </x:c>
      <x:c r="O4" s="24" t="str">
        <x:v>discriminant</x:v>
      </x:c>
      <x:c r="P4" s="24" t="str">
        <x:v>compressor_linear_gain</x:v>
      </x:c>
      <x:c r="Q4" s="24" t="str">
        <x:v>identification_gain_db</x:v>
      </x:c>
      <x:c r="R4" s="21" t="str">
        <x:v>detector_dbfs</x:v>
      </x:c>
    </x:row>
    <x:row r="5">
      <x:c r="A5" t="str">
        <x:f>'Measurements'!A5</x:f>
        <x:v>B7_45</x:v>
      </x:c>
      <x:c r="B5" s="27" t="n">
        <x:f>'Measurements'!B5</x:f>
        <x:v>7</x:v>
      </x:c>
      <x:c r="C5" s="27" t="n">
        <x:f>'Measurements'!C5</x:f>
        <x:v>4000</x:v>
      </x:c>
      <x:c r="D5" s="32" t="n">
        <x:f>'Measurements'!D5</x:f>
        <x:v>45</x:v>
      </x:c>
      <x:c r="E5" s="32" t="n">
        <x:f>'Measurements'!E5</x:f>
        <x:v>-59.85</x:v>
      </x:c>
      <x:c r="F5" s="32" t="str">
        <x:f>IF('Measurements'!F5="","",'Measurements'!F5)</x:f>
      </x:c>
      <x:c r="G5" s="32" t="str">
        <x:f>IF('Measurements'!G5="","",'Measurements'!G5)</x:f>
      </x:c>
      <x:c r="H5" s="31" t="str">
        <x:f>IF(COUNT(F5:G5)=2,G5-F5,"")</x:f>
      </x:c>
      <x:c r="I5" s="31" t="str">
        <x:f>IF(H5="","",POWER(10,H5/20))</x:f>
      </x:c>
      <x:c r="J5" s="31" t="n">
        <x:f>'Model'!G5</x:f>
        <x:v>0.2865033308720583</x:v>
      </x:c>
      <x:c r="K5" s="31" t="n">
        <x:f>'Model'!H5</x:f>
        <x:v>0.49749751720418234</x:v>
      </x:c>
      <x:c r="L5" s="31" t="n">
        <x:f>'Model'!I5</x:f>
        <x:v>0.2159693807346456</x:v>
      </x:c>
      <x:c r="M5" s="31" t="n">
        <x:f>'Model'!J5</x:f>
        <x:v>0.9999702288108862</x:v>
      </x:c>
      <x:c r="N5" s="31" t="str">
        <x:f>IF(I5="","",L5-POWER(I5,2)*M5)</x:f>
      </x:c>
      <x:c r="O5" s="31" t="str">
        <x:f>IF(N5="","",POWER(K5,2)-4*J5*N5)</x:f>
      </x:c>
      <x:c r="P5" s="31" t="str">
        <x:f>IF(O5="","",(-K5+SQRT(O5))/(2*J5))</x:f>
      </x:c>
      <x:c r="Q5" s="31" t="str">
        <x:f>IF(P5="","",20*LOG10(P5))</x:f>
      </x:c>
      <x:c r="R5" s="31" t="str">
        <x:f>IF(Q5="","",-4*(Q5+10))</x:f>
      </x:c>
    </x:row>
    <x:row r="6">
      <x:c r="A6" t="str">
        <x:f>'Measurements'!A6</x:f>
        <x:v>B7_55</x:v>
      </x:c>
      <x:c r="B6" s="27" t="n">
        <x:f>'Measurements'!B6</x:f>
        <x:v>7</x:v>
      </x:c>
      <x:c r="C6" s="27" t="n">
        <x:f>'Measurements'!C6</x:f>
        <x:v>4000</x:v>
      </x:c>
      <x:c r="D6" s="32" t="n">
        <x:f>'Measurements'!D6</x:f>
        <x:v>55</x:v>
      </x:c>
      <x:c r="E6" s="32" t="n">
        <x:f>'Measurements'!E6</x:f>
        <x:v>-49.85</x:v>
      </x:c>
      <x:c r="F6" s="32" t="str">
        <x:f>IF('Measurements'!F6="","",'Measurements'!F6)</x:f>
      </x:c>
      <x:c r="G6" s="32" t="str">
        <x:f>IF('Measurements'!G6="","",'Measurements'!G6)</x:f>
      </x:c>
      <x:c r="H6" s="31" t="str">
        <x:f>IF(COUNT(F6:G6)=2,G6-F6,"")</x:f>
      </x:c>
      <x:c r="I6" s="31" t="str">
        <x:f>IF(H6="","",POWER(10,H6/20))</x:f>
      </x:c>
      <x:c r="J6" s="31" t="n">
        <x:f>'Model'!G5</x:f>
        <x:v>0.2865033308720583</x:v>
      </x:c>
      <x:c r="K6" s="31" t="n">
        <x:f>'Model'!H5</x:f>
        <x:v>0.49749751720418234</x:v>
      </x:c>
      <x:c r="L6" s="31" t="n">
        <x:f>'Model'!I5</x:f>
        <x:v>0.2159693807346456</x:v>
      </x:c>
      <x:c r="M6" s="31" t="n">
        <x:f>'Model'!J5</x:f>
        <x:v>0.9999702288108862</x:v>
      </x:c>
      <x:c r="N6" s="31" t="str">
        <x:f>IF(I6="","",L6-POWER(I6,2)*M6)</x:f>
      </x:c>
      <x:c r="O6" s="31" t="str">
        <x:f>IF(N6="","",POWER(K6,2)-4*J6*N6)</x:f>
      </x:c>
      <x:c r="P6" s="31" t="str">
        <x:f>IF(O6="","",(-K6+SQRT(O6))/(2*J6))</x:f>
      </x:c>
      <x:c r="Q6" s="31" t="str">
        <x:f>IF(P6="","",20*LOG10(P6))</x:f>
      </x:c>
      <x:c r="R6" s="31" t="str">
        <x:f>IF(Q6="","",-4*(Q6+10))</x:f>
      </x:c>
    </x:row>
    <x:row r="7">
      <x:c r="A7" t="str">
        <x:f>'Measurements'!A7</x:f>
        <x:v>B7_65</x:v>
      </x:c>
      <x:c r="B7" s="27" t="n">
        <x:f>'Measurements'!B7</x:f>
        <x:v>7</x:v>
      </x:c>
      <x:c r="C7" s="27" t="n">
        <x:f>'Measurements'!C7</x:f>
        <x:v>4000</x:v>
      </x:c>
      <x:c r="D7" s="32" t="n">
        <x:f>'Measurements'!D7</x:f>
        <x:v>65</x:v>
      </x:c>
      <x:c r="E7" s="32" t="n">
        <x:f>'Measurements'!E7</x:f>
        <x:v>-39.85</x:v>
      </x:c>
      <x:c r="F7" s="32" t="str">
        <x:f>IF('Measurements'!F7="","",'Measurements'!F7)</x:f>
      </x:c>
      <x:c r="G7" s="32" t="str">
        <x:f>IF('Measurements'!G7="","",'Measurements'!G7)</x:f>
      </x:c>
      <x:c r="H7" s="31" t="str">
        <x:f>IF(COUNT(F7:G7)=2,G7-F7,"")</x:f>
      </x:c>
      <x:c r="I7" s="31" t="str">
        <x:f>IF(H7="","",POWER(10,H7/20))</x:f>
      </x:c>
      <x:c r="J7" s="31" t="n">
        <x:f>'Model'!G5</x:f>
        <x:v>0.2865033308720583</x:v>
      </x:c>
      <x:c r="K7" s="31" t="n">
        <x:f>'Model'!H5</x:f>
        <x:v>0.49749751720418234</x:v>
      </x:c>
      <x:c r="L7" s="31" t="n">
        <x:f>'Model'!I5</x:f>
        <x:v>0.2159693807346456</x:v>
      </x:c>
      <x:c r="M7" s="31" t="n">
        <x:f>'Model'!J5</x:f>
        <x:v>0.9999702288108862</x:v>
      </x:c>
      <x:c r="N7" s="31" t="str">
        <x:f>IF(I7="","",L7-POWER(I7,2)*M7)</x:f>
      </x:c>
      <x:c r="O7" s="31" t="str">
        <x:f>IF(N7="","",POWER(K7,2)-4*J7*N7)</x:f>
      </x:c>
      <x:c r="P7" s="31" t="str">
        <x:f>IF(O7="","",(-K7+SQRT(O7))/(2*J7))</x:f>
      </x:c>
      <x:c r="Q7" s="31" t="str">
        <x:f>IF(P7="","",20*LOG10(P7))</x:f>
      </x:c>
      <x:c r="R7" s="31" t="str">
        <x:f>IF(Q7="","",-4*(Q7+10))</x:f>
      </x:c>
    </x:row>
    <x:row r="8">
      <x:c r="A8" t="str">
        <x:f>'Measurements'!A8</x:f>
        <x:v>B7_75</x:v>
      </x:c>
      <x:c r="B8" s="27" t="n">
        <x:f>'Measurements'!B8</x:f>
        <x:v>7</x:v>
      </x:c>
      <x:c r="C8" s="27" t="n">
        <x:f>'Measurements'!C8</x:f>
        <x:v>4000</x:v>
      </x:c>
      <x:c r="D8" s="32" t="n">
        <x:f>'Measurements'!D8</x:f>
        <x:v>75</x:v>
      </x:c>
      <x:c r="E8" s="32" t="n">
        <x:f>'Measurements'!E8</x:f>
        <x:v>-29.85</x:v>
      </x:c>
      <x:c r="F8" s="32" t="str">
        <x:f>IF('Measurements'!F8="","",'Measurements'!F8)</x:f>
      </x:c>
      <x:c r="G8" s="32" t="str">
        <x:f>IF('Measurements'!G8="","",'Measurements'!G8)</x:f>
      </x:c>
      <x:c r="H8" s="31" t="str">
        <x:f>IF(COUNT(F8:G8)=2,G8-F8,"")</x:f>
      </x:c>
      <x:c r="I8" s="31" t="str">
        <x:f>IF(H8="","",POWER(10,H8/20))</x:f>
      </x:c>
      <x:c r="J8" s="31" t="n">
        <x:f>'Model'!G5</x:f>
        <x:v>0.2865033308720583</x:v>
      </x:c>
      <x:c r="K8" s="31" t="n">
        <x:f>'Model'!H5</x:f>
        <x:v>0.49749751720418234</x:v>
      </x:c>
      <x:c r="L8" s="31" t="n">
        <x:f>'Model'!I5</x:f>
        <x:v>0.2159693807346456</x:v>
      </x:c>
      <x:c r="M8" s="31" t="n">
        <x:f>'Model'!J5</x:f>
        <x:v>0.9999702288108862</x:v>
      </x:c>
      <x:c r="N8" s="31" t="str">
        <x:f>IF(I8="","",L8-POWER(I8,2)*M8)</x:f>
      </x:c>
      <x:c r="O8" s="31" t="str">
        <x:f>IF(N8="","",POWER(K8,2)-4*J8*N8)</x:f>
      </x:c>
      <x:c r="P8" s="31" t="str">
        <x:f>IF(O8="","",(-K8+SQRT(O8))/(2*J8))</x:f>
      </x:c>
      <x:c r="Q8" s="31" t="str">
        <x:f>IF(P8="","",20*LOG10(P8))</x:f>
      </x:c>
      <x:c r="R8" s="31" t="str">
        <x:f>IF(Q8="","",-4*(Q8+10))</x:f>
      </x:c>
    </x:row>
    <x:row r="9">
      <x:c r="A9" t="str">
        <x:f>'Measurements'!A9</x:f>
        <x:v>B7_85</x:v>
      </x:c>
      <x:c r="B9" s="27" t="n">
        <x:f>'Measurements'!B9</x:f>
        <x:v>7</x:v>
      </x:c>
      <x:c r="C9" s="27" t="n">
        <x:f>'Measurements'!C9</x:f>
        <x:v>4000</x:v>
      </x:c>
      <x:c r="D9" s="32" t="n">
        <x:f>'Measurements'!D9</x:f>
        <x:v>85</x:v>
      </x:c>
      <x:c r="E9" s="32" t="n">
        <x:f>'Measurements'!E9</x:f>
        <x:v>-19.85</x:v>
      </x:c>
      <x:c r="F9" s="32" t="str">
        <x:f>IF('Measurements'!F9="","",'Measurements'!F9)</x:f>
      </x:c>
      <x:c r="G9" s="32" t="str">
        <x:f>IF('Measurements'!G9="","",'Measurements'!G9)</x:f>
      </x:c>
      <x:c r="H9" s="31" t="str">
        <x:f>IF(COUNT(F9:G9)=2,G9-F9,"")</x:f>
      </x:c>
      <x:c r="I9" s="31" t="str">
        <x:f>IF(H9="","",POWER(10,H9/20))</x:f>
      </x:c>
      <x:c r="J9" s="31" t="n">
        <x:f>'Model'!G5</x:f>
        <x:v>0.2865033308720583</x:v>
      </x:c>
      <x:c r="K9" s="31" t="n">
        <x:f>'Model'!H5</x:f>
        <x:v>0.49749751720418234</x:v>
      </x:c>
      <x:c r="L9" s="31" t="n">
        <x:f>'Model'!I5</x:f>
        <x:v>0.2159693807346456</x:v>
      </x:c>
      <x:c r="M9" s="31" t="n">
        <x:f>'Model'!J5</x:f>
        <x:v>0.9999702288108862</x:v>
      </x:c>
      <x:c r="N9" s="31" t="str">
        <x:f>IF(I9="","",L9-POWER(I9,2)*M9)</x:f>
      </x:c>
      <x:c r="O9" s="31" t="str">
        <x:f>IF(N9="","",POWER(K9,2)-4*J9*N9)</x:f>
      </x:c>
      <x:c r="P9" s="31" t="str">
        <x:f>IF(O9="","",(-K9+SQRT(O9))/(2*J9))</x:f>
      </x:c>
      <x:c r="Q9" s="31" t="str">
        <x:f>IF(P9="","",20*LOG10(P9))</x:f>
      </x:c>
      <x:c r="R9" s="31" t="str">
        <x:f>IF(Q9="","",-4*(Q9+10))</x:f>
      </x:c>
    </x:row>
    <x:row r="10">
      <x:c r="A10" t="str">
        <x:f>'Measurements'!A10</x:f>
        <x:v>B7_95</x:v>
      </x:c>
      <x:c r="B10" s="27" t="n">
        <x:f>'Measurements'!B10</x:f>
        <x:v>7</x:v>
      </x:c>
      <x:c r="C10" s="27" t="n">
        <x:f>'Measurements'!C10</x:f>
        <x:v>4000</x:v>
      </x:c>
      <x:c r="D10" s="32" t="n">
        <x:f>'Measurements'!D10</x:f>
        <x:v>95</x:v>
      </x:c>
      <x:c r="E10" s="32" t="n">
        <x:f>'Measurements'!E10</x:f>
        <x:v>-9.85</x:v>
      </x:c>
      <x:c r="F10" s="32" t="str">
        <x:f>IF('Measurements'!F10="","",'Measurements'!F10)</x:f>
      </x:c>
      <x:c r="G10" s="32" t="str">
        <x:f>IF('Measurements'!G10="","",'Measurements'!G10)</x:f>
      </x:c>
      <x:c r="H10" s="31" t="str">
        <x:f>IF(COUNT(F10:G10)=2,G10-F10,"")</x:f>
      </x:c>
      <x:c r="I10" s="31" t="str">
        <x:f>IF(H10="","",POWER(10,H10/20))</x:f>
      </x:c>
      <x:c r="J10" s="31" t="n">
        <x:f>'Model'!G5</x:f>
        <x:v>0.2865033308720583</x:v>
      </x:c>
      <x:c r="K10" s="31" t="n">
        <x:f>'Model'!H5</x:f>
        <x:v>0.49749751720418234</x:v>
      </x:c>
      <x:c r="L10" s="31" t="n">
        <x:f>'Model'!I5</x:f>
        <x:v>0.2159693807346456</x:v>
      </x:c>
      <x:c r="M10" s="31" t="n">
        <x:f>'Model'!J5</x:f>
        <x:v>0.9999702288108862</x:v>
      </x:c>
      <x:c r="N10" s="31" t="str">
        <x:f>IF(I10="","",L10-POWER(I10,2)*M10)</x:f>
      </x:c>
      <x:c r="O10" s="31" t="str">
        <x:f>IF(N10="","",POWER(K10,2)-4*J10*N10)</x:f>
      </x:c>
      <x:c r="P10" s="31" t="str">
        <x:f>IF(O10="","",(-K10+SQRT(O10))/(2*J10))</x:f>
      </x:c>
      <x:c r="Q10" s="31" t="str">
        <x:f>IF(P10="","",20*LOG10(P10))</x:f>
      </x:c>
      <x:c r="R10" s="31" t="str">
        <x:f>IF(Q10="","",-4*(Q10+10))</x:f>
      </x:c>
    </x:row>
    <x:row r="11">
      <x:c r="A11" t="str">
        <x:f>'Measurements'!A11</x:f>
        <x:v>B8_45</x:v>
      </x:c>
      <x:c r="B11" s="27" t="n">
        <x:f>'Measurements'!B11</x:f>
        <x:v>8</x:v>
      </x:c>
      <x:c r="C11" s="27" t="n">
        <x:f>'Measurements'!C11</x:f>
        <x:v>6727</x:v>
      </x:c>
      <x:c r="D11" s="32" t="n">
        <x:f>'Measurements'!D11</x:f>
        <x:v>45</x:v>
      </x:c>
      <x:c r="E11" s="32" t="n">
        <x:f>'Measurements'!E11</x:f>
        <x:v>-59.85</x:v>
      </x:c>
      <x:c r="F11" s="32" t="str">
        <x:f>IF('Measurements'!F11="","",'Measurements'!F11)</x:f>
      </x:c>
      <x:c r="G11" s="32" t="str">
        <x:f>IF('Measurements'!G11="","",'Measurements'!G11)</x:f>
      </x:c>
      <x:c r="H11" s="31" t="str">
        <x:f>IF(COUNT(F11:G11)=2,G11-F11,"")</x:f>
      </x:c>
      <x:c r="I11" s="31" t="str">
        <x:f>IF(H11="","",POWER(10,H11/20))</x:f>
      </x:c>
      <x:c r="J11" s="31" t="n">
        <x:f>'Model'!G6</x:f>
        <x:v>0.32079630624039196</x:v>
      </x:c>
      <x:c r="K11" s="31" t="n">
        <x:f>'Model'!H6</x:f>
        <x:v>0.49117712808866315</x:v>
      </x:c>
      <x:c r="L11" s="31" t="n">
        <x:f>'Model'!I6</x:f>
        <x:v>0.18801543815591001</x:v>
      </x:c>
      <x:c r="M11" s="31" t="n">
        <x:f>'Model'!J6</x:f>
        <x:v>0.9999888724849652</x:v>
      </x:c>
      <x:c r="N11" s="31" t="str">
        <x:f>IF(I11="","",L11-POWER(I11,2)*M11)</x:f>
      </x:c>
      <x:c r="O11" s="31" t="str">
        <x:f>IF(N11="","",POWER(K11,2)-4*J11*N11)</x:f>
      </x:c>
      <x:c r="P11" s="31" t="str">
        <x:f>IF(O11="","",(-K11+SQRT(O11))/(2*J11))</x:f>
      </x:c>
      <x:c r="Q11" s="31" t="str">
        <x:f>IF(P11="","",20*LOG10(P11))</x:f>
      </x:c>
      <x:c r="R11" s="31" t="str">
        <x:f>IF(Q11="","",-4*(Q11+10))</x:f>
      </x:c>
    </x:row>
    <x:row r="12">
      <x:c r="A12" t="str">
        <x:f>'Measurements'!A12</x:f>
        <x:v>B8_55</x:v>
      </x:c>
      <x:c r="B12" s="27" t="n">
        <x:f>'Measurements'!B12</x:f>
        <x:v>8</x:v>
      </x:c>
      <x:c r="C12" s="27" t="n">
        <x:f>'Measurements'!C12</x:f>
        <x:v>6727</x:v>
      </x:c>
      <x:c r="D12" s="32" t="n">
        <x:f>'Measurements'!D12</x:f>
        <x:v>55</x:v>
      </x:c>
      <x:c r="E12" s="32" t="n">
        <x:f>'Measurements'!E12</x:f>
        <x:v>-49.85</x:v>
      </x:c>
      <x:c r="F12" s="32" t="str">
        <x:f>IF('Measurements'!F12="","",'Measurements'!F12)</x:f>
      </x:c>
      <x:c r="G12" s="32" t="str">
        <x:f>IF('Measurements'!G12="","",'Measurements'!G12)</x:f>
      </x:c>
      <x:c r="H12" s="31" t="str">
        <x:f>IF(COUNT(F12:G12)=2,G12-F12,"")</x:f>
      </x:c>
      <x:c r="I12" s="31" t="str">
        <x:f>IF(H12="","",POWER(10,H12/20))</x:f>
      </x:c>
      <x:c r="J12" s="31" t="n">
        <x:f>'Model'!G6</x:f>
        <x:v>0.32079630624039196</x:v>
      </x:c>
      <x:c r="K12" s="31" t="n">
        <x:f>'Model'!H6</x:f>
        <x:v>0.49117712808866315</x:v>
      </x:c>
      <x:c r="L12" s="31" t="n">
        <x:f>'Model'!I6</x:f>
        <x:v>0.18801543815591001</x:v>
      </x:c>
      <x:c r="M12" s="31" t="n">
        <x:f>'Model'!J6</x:f>
        <x:v>0.9999888724849652</x:v>
      </x:c>
      <x:c r="N12" s="31" t="str">
        <x:f>IF(I12="","",L12-POWER(I12,2)*M12)</x:f>
      </x:c>
      <x:c r="O12" s="31" t="str">
        <x:f>IF(N12="","",POWER(K12,2)-4*J12*N12)</x:f>
      </x:c>
      <x:c r="P12" s="31" t="str">
        <x:f>IF(O12="","",(-K12+SQRT(O12))/(2*J12))</x:f>
      </x:c>
      <x:c r="Q12" s="31" t="str">
        <x:f>IF(P12="","",20*LOG10(P12))</x:f>
      </x:c>
      <x:c r="R12" s="31" t="str">
        <x:f>IF(Q12="","",-4*(Q12+10))</x:f>
      </x:c>
    </x:row>
    <x:row r="13">
      <x:c r="A13" t="str">
        <x:f>'Measurements'!A13</x:f>
        <x:v>B8_65</x:v>
      </x:c>
      <x:c r="B13" s="27" t="n">
        <x:f>'Measurements'!B13</x:f>
        <x:v>8</x:v>
      </x:c>
      <x:c r="C13" s="27" t="n">
        <x:f>'Measurements'!C13</x:f>
        <x:v>6727</x:v>
      </x:c>
      <x:c r="D13" s="32" t="n">
        <x:f>'Measurements'!D13</x:f>
        <x:v>65</x:v>
      </x:c>
      <x:c r="E13" s="32" t="n">
        <x:f>'Measurements'!E13</x:f>
        <x:v>-39.85</x:v>
      </x:c>
      <x:c r="F13" s="32" t="str">
        <x:f>IF('Measurements'!F13="","",'Measurements'!F13)</x:f>
      </x:c>
      <x:c r="G13" s="32" t="str">
        <x:f>IF('Measurements'!G13="","",'Measurements'!G13)</x:f>
      </x:c>
      <x:c r="H13" s="31" t="str">
        <x:f>IF(COUNT(F13:G13)=2,G13-F13,"")</x:f>
      </x:c>
      <x:c r="I13" s="31" t="str">
        <x:f>IF(H13="","",POWER(10,H13/20))</x:f>
      </x:c>
      <x:c r="J13" s="31" t="n">
        <x:f>'Model'!G6</x:f>
        <x:v>0.32079630624039196</x:v>
      </x:c>
      <x:c r="K13" s="31" t="n">
        <x:f>'Model'!H6</x:f>
        <x:v>0.49117712808866315</x:v>
      </x:c>
      <x:c r="L13" s="31" t="n">
        <x:f>'Model'!I6</x:f>
        <x:v>0.18801543815591001</x:v>
      </x:c>
      <x:c r="M13" s="31" t="n">
        <x:f>'Model'!J6</x:f>
        <x:v>0.9999888724849652</x:v>
      </x:c>
      <x:c r="N13" s="31" t="str">
        <x:f>IF(I13="","",L13-POWER(I13,2)*M13)</x:f>
      </x:c>
      <x:c r="O13" s="31" t="str">
        <x:f>IF(N13="","",POWER(K13,2)-4*J13*N13)</x:f>
      </x:c>
      <x:c r="P13" s="31" t="str">
        <x:f>IF(O13="","",(-K13+SQRT(O13))/(2*J13))</x:f>
      </x:c>
      <x:c r="Q13" s="31" t="str">
        <x:f>IF(P13="","",20*LOG10(P13))</x:f>
      </x:c>
      <x:c r="R13" s="31" t="str">
        <x:f>IF(Q13="","",-4*(Q13+10))</x:f>
      </x:c>
    </x:row>
    <x:row r="14">
      <x:c r="A14" t="str">
        <x:f>'Measurements'!A14</x:f>
        <x:v>B8_75</x:v>
      </x:c>
      <x:c r="B14" s="27" t="n">
        <x:f>'Measurements'!B14</x:f>
        <x:v>8</x:v>
      </x:c>
      <x:c r="C14" s="27" t="n">
        <x:f>'Measurements'!C14</x:f>
        <x:v>6727</x:v>
      </x:c>
      <x:c r="D14" s="32" t="n">
        <x:f>'Measurements'!D14</x:f>
        <x:v>75</x:v>
      </x:c>
      <x:c r="E14" s="32" t="n">
        <x:f>'Measurements'!E14</x:f>
        <x:v>-29.85</x:v>
      </x:c>
      <x:c r="F14" s="32" t="str">
        <x:f>IF('Measurements'!F14="","",'Measurements'!F14)</x:f>
      </x:c>
      <x:c r="G14" s="32" t="str">
        <x:f>IF('Measurements'!G14="","",'Measurements'!G14)</x:f>
      </x:c>
      <x:c r="H14" s="31" t="str">
        <x:f>IF(COUNT(F14:G14)=2,G14-F14,"")</x:f>
      </x:c>
      <x:c r="I14" s="31" t="str">
        <x:f>IF(H14="","",POWER(10,H14/20))</x:f>
      </x:c>
      <x:c r="J14" s="31" t="n">
        <x:f>'Model'!G6</x:f>
        <x:v>0.32079630624039196</x:v>
      </x:c>
      <x:c r="K14" s="31" t="n">
        <x:f>'Model'!H6</x:f>
        <x:v>0.49117712808866315</x:v>
      </x:c>
      <x:c r="L14" s="31" t="n">
        <x:f>'Model'!I6</x:f>
        <x:v>0.18801543815591001</x:v>
      </x:c>
      <x:c r="M14" s="31" t="n">
        <x:f>'Model'!J6</x:f>
        <x:v>0.9999888724849652</x:v>
      </x:c>
      <x:c r="N14" s="31" t="str">
        <x:f>IF(I14="","",L14-POWER(I14,2)*M14)</x:f>
      </x:c>
      <x:c r="O14" s="31" t="str">
        <x:f>IF(N14="","",POWER(K14,2)-4*J14*N14)</x:f>
      </x:c>
      <x:c r="P14" s="31" t="str">
        <x:f>IF(O14="","",(-K14+SQRT(O14))/(2*J14))</x:f>
      </x:c>
      <x:c r="Q14" s="31" t="str">
        <x:f>IF(P14="","",20*LOG10(P14))</x:f>
      </x:c>
      <x:c r="R14" s="31" t="str">
        <x:f>IF(Q14="","",-4*(Q14+10))</x:f>
      </x:c>
    </x:row>
    <x:row r="15">
      <x:c r="A15" t="str">
        <x:f>'Measurements'!A15</x:f>
        <x:v>B8_85</x:v>
      </x:c>
      <x:c r="B15" s="27" t="n">
        <x:f>'Measurements'!B15</x:f>
        <x:v>8</x:v>
      </x:c>
      <x:c r="C15" s="27" t="n">
        <x:f>'Measurements'!C15</x:f>
        <x:v>6727</x:v>
      </x:c>
      <x:c r="D15" s="32" t="n">
        <x:f>'Measurements'!D15</x:f>
        <x:v>85</x:v>
      </x:c>
      <x:c r="E15" s="32" t="n">
        <x:f>'Measurements'!E15</x:f>
        <x:v>-19.85</x:v>
      </x:c>
      <x:c r="F15" s="32" t="str">
        <x:f>IF('Measurements'!F15="","",'Measurements'!F15)</x:f>
      </x:c>
      <x:c r="G15" s="32" t="str">
        <x:f>IF('Measurements'!G15="","",'Measurements'!G15)</x:f>
      </x:c>
      <x:c r="H15" s="31" t="str">
        <x:f>IF(COUNT(F15:G15)=2,G15-F15,"")</x:f>
      </x:c>
      <x:c r="I15" s="31" t="str">
        <x:f>IF(H15="","",POWER(10,H15/20))</x:f>
      </x:c>
      <x:c r="J15" s="31" t="n">
        <x:f>'Model'!G6</x:f>
        <x:v>0.32079630624039196</x:v>
      </x:c>
      <x:c r="K15" s="31" t="n">
        <x:f>'Model'!H6</x:f>
        <x:v>0.49117712808866315</x:v>
      </x:c>
      <x:c r="L15" s="31" t="n">
        <x:f>'Model'!I6</x:f>
        <x:v>0.18801543815591001</x:v>
      </x:c>
      <x:c r="M15" s="31" t="n">
        <x:f>'Model'!J6</x:f>
        <x:v>0.9999888724849652</x:v>
      </x:c>
      <x:c r="N15" s="31" t="str">
        <x:f>IF(I15="","",L15-POWER(I15,2)*M15)</x:f>
      </x:c>
      <x:c r="O15" s="31" t="str">
        <x:f>IF(N15="","",POWER(K15,2)-4*J15*N15)</x:f>
      </x:c>
      <x:c r="P15" s="31" t="str">
        <x:f>IF(O15="","",(-K15+SQRT(O15))/(2*J15))</x:f>
      </x:c>
      <x:c r="Q15" s="31" t="str">
        <x:f>IF(P15="","",20*LOG10(P15))</x:f>
      </x:c>
      <x:c r="R15" s="31" t="str">
        <x:f>IF(Q15="","",-4*(Q15+10))</x:f>
      </x:c>
    </x:row>
    <x:row r="16">
      <x:c r="A16" t="str">
        <x:f>'Measurements'!A16</x:f>
        <x:v>B8_95</x:v>
      </x:c>
      <x:c r="B16" s="27" t="n">
        <x:f>'Measurements'!B16</x:f>
        <x:v>8</x:v>
      </x:c>
      <x:c r="C16" s="27" t="n">
        <x:f>'Measurements'!C16</x:f>
        <x:v>6727</x:v>
      </x:c>
      <x:c r="D16" s="32" t="n">
        <x:f>'Measurements'!D16</x:f>
        <x:v>95</x:v>
      </x:c>
      <x:c r="E16" s="32" t="n">
        <x:f>'Measurements'!E16</x:f>
        <x:v>-9.85</x:v>
      </x:c>
      <x:c r="F16" s="32" t="str">
        <x:f>IF('Measurements'!F16="","",'Measurements'!F16)</x:f>
      </x:c>
      <x:c r="G16" s="32" t="str">
        <x:f>IF('Measurements'!G16="","",'Measurements'!G16)</x:f>
      </x:c>
      <x:c r="H16" s="31" t="str">
        <x:f>IF(COUNT(F16:G16)=2,G16-F16,"")</x:f>
      </x:c>
      <x:c r="I16" s="31" t="str">
        <x:f>IF(H16="","",POWER(10,H16/20))</x:f>
      </x:c>
      <x:c r="J16" s="31" t="n">
        <x:f>'Model'!G6</x:f>
        <x:v>0.32079630624039196</x:v>
      </x:c>
      <x:c r="K16" s="31" t="n">
        <x:f>'Model'!H6</x:f>
        <x:v>0.49117712808866315</x:v>
      </x:c>
      <x:c r="L16" s="31" t="n">
        <x:f>'Model'!I6</x:f>
        <x:v>0.18801543815591001</x:v>
      </x:c>
      <x:c r="M16" s="31" t="n">
        <x:f>'Model'!J6</x:f>
        <x:v>0.9999888724849652</x:v>
      </x:c>
      <x:c r="N16" s="31" t="str">
        <x:f>IF(I16="","",L16-POWER(I16,2)*M16)</x:f>
      </x:c>
      <x:c r="O16" s="31" t="str">
        <x:f>IF(N16="","",POWER(K16,2)-4*J16*N16)</x:f>
      </x:c>
      <x:c r="P16" s="31" t="str">
        <x:f>IF(O16="","",(-K16+SQRT(O16))/(2*J16))</x:f>
      </x:c>
      <x:c r="Q16" s="31" t="str">
        <x:f>IF(P16="","",20*LOG10(P16))</x:f>
      </x:c>
      <x:c r="R16" s="31" t="str">
        <x:f>IF(Q16="","",-4*(Q16+10))</x:f>
      </x:c>
    </x:row>
  </x:sheetData>
  <x:mergeCells>
    <x:mergeCell ref="A1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</x:cols>
  <x:sheetData>
    <x:row r="1">
      <x:c r="A1" s="3" t="str">
        <x:v>Ganhos CAMFIT N1 de referência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4">
      <x:c r="A4" s="20" t="str">
        <x:v>band</x:v>
      </x:c>
      <x:c r="B4" s="24" t="str">
        <x:v>centre_hz</x:v>
      </x:c>
      <x:c r="C4" s="24" t="str">
        <x:v>input_level_db_spl</x:v>
      </x:c>
      <x:c r="D4" s="24" t="str">
        <x:v>expected_camfit_gain_db</x:v>
      </x:c>
      <x:c r="E4" s="21" t="str">
        <x:v>implementation_status</x:v>
      </x:c>
    </x:row>
    <x:row r="5">
      <x:c r="A5" s="27" t="n">
        <x:v>1</x:v>
      </x:c>
      <x:c r="B5" s="27" t="n">
        <x:v>177</x:v>
      </x:c>
      <x:c r="C5" s="27" t="n">
        <x:v>45</x:v>
      </x:c>
      <x:c r="D5" s="32" t="n">
        <x:v>1.988463</x:v>
      </x:c>
      <x:c r="E5" t="str">
        <x:v>calibrated</x:v>
      </x:c>
    </x:row>
    <x:row r="6">
      <x:c r="A6" s="27" t="n">
        <x:v>1</x:v>
      </x:c>
      <x:c r="B6" s="27" t="n">
        <x:v>177</x:v>
      </x:c>
      <x:c r="C6" s="27" t="n">
        <x:v>55</x:v>
      </x:c>
      <x:c r="D6" s="32" t="n">
        <x:v>0.570642</x:v>
      </x:c>
      <x:c r="E6" t="str">
        <x:v>calibrated</x:v>
      </x:c>
    </x:row>
    <x:row r="7">
      <x:c r="A7" s="27" t="n">
        <x:v>1</x:v>
      </x:c>
      <x:c r="B7" s="27" t="n">
        <x:v>177</x:v>
      </x:c>
      <x:c r="C7" s="27" t="n">
        <x:v>65</x:v>
      </x:c>
      <x:c r="D7" s="32" t="n">
        <x:v>0</x:v>
      </x:c>
      <x:c r="E7" t="str">
        <x:v>calibrated</x:v>
      </x:c>
    </x:row>
    <x:row r="8">
      <x:c r="A8" s="27" t="n">
        <x:v>1</x:v>
      </x:c>
      <x:c r="B8" s="27" t="n">
        <x:v>177</x:v>
      </x:c>
      <x:c r="C8" s="27" t="n">
        <x:v>75</x:v>
      </x:c>
      <x:c r="D8" s="32" t="n">
        <x:v>0</x:v>
      </x:c>
      <x:c r="E8" t="str">
        <x:v>calibrated</x:v>
      </x:c>
    </x:row>
    <x:row r="9">
      <x:c r="A9" s="27" t="n">
        <x:v>1</x:v>
      </x:c>
      <x:c r="B9" s="27" t="n">
        <x:v>177</x:v>
      </x:c>
      <x:c r="C9" s="27" t="n">
        <x:v>85</x:v>
      </x:c>
      <x:c r="D9" s="32" t="n">
        <x:v>0</x:v>
      </x:c>
      <x:c r="E9" t="str">
        <x:v>calibrated</x:v>
      </x:c>
    </x:row>
    <x:row r="10">
      <x:c r="A10" s="27" t="n">
        <x:v>1</x:v>
      </x:c>
      <x:c r="B10" s="27" t="n">
        <x:v>177</x:v>
      </x:c>
      <x:c r="C10" s="27" t="n">
        <x:v>95</x:v>
      </x:c>
      <x:c r="D10" s="32" t="n">
        <x:v>0</x:v>
      </x:c>
      <x:c r="E10" t="str">
        <x:v>calibrated</x:v>
      </x:c>
    </x:row>
    <x:row r="11">
      <x:c r="A11" s="27" t="n">
        <x:v>2</x:v>
      </x:c>
      <x:c r="B11" s="27" t="n">
        <x:v>297</x:v>
      </x:c>
      <x:c r="C11" s="27" t="n">
        <x:v>45</x:v>
      </x:c>
      <x:c r="D11" s="32" t="n">
        <x:v>0</x:v>
      </x:c>
      <x:c r="E11" t="str">
        <x:v>zero gain</x:v>
      </x:c>
    </x:row>
    <x:row r="12">
      <x:c r="A12" s="27" t="n">
        <x:v>2</x:v>
      </x:c>
      <x:c r="B12" s="27" t="n">
        <x:v>297</x:v>
      </x:c>
      <x:c r="C12" s="27" t="n">
        <x:v>55</x:v>
      </x:c>
      <x:c r="D12" s="32" t="n">
        <x:v>0</x:v>
      </x:c>
      <x:c r="E12" t="str">
        <x:v>zero gain</x:v>
      </x:c>
    </x:row>
    <x:row r="13">
      <x:c r="A13" s="27" t="n">
        <x:v>2</x:v>
      </x:c>
      <x:c r="B13" s="27" t="n">
        <x:v>297</x:v>
      </x:c>
      <x:c r="C13" s="27" t="n">
        <x:v>65</x:v>
      </x:c>
      <x:c r="D13" s="32" t="n">
        <x:v>0</x:v>
      </x:c>
      <x:c r="E13" t="str">
        <x:v>zero gain</x:v>
      </x:c>
    </x:row>
    <x:row r="14">
      <x:c r="A14" s="27" t="n">
        <x:v>2</x:v>
      </x:c>
      <x:c r="B14" s="27" t="n">
        <x:v>297</x:v>
      </x:c>
      <x:c r="C14" s="27" t="n">
        <x:v>75</x:v>
      </x:c>
      <x:c r="D14" s="32" t="n">
        <x:v>0</x:v>
      </x:c>
      <x:c r="E14" t="str">
        <x:v>zero gain</x:v>
      </x:c>
    </x:row>
    <x:row r="15">
      <x:c r="A15" s="27" t="n">
        <x:v>2</x:v>
      </x:c>
      <x:c r="B15" s="27" t="n">
        <x:v>297</x:v>
      </x:c>
      <x:c r="C15" s="27" t="n">
        <x:v>85</x:v>
      </x:c>
      <x:c r="D15" s="32" t="n">
        <x:v>0</x:v>
      </x:c>
      <x:c r="E15" t="str">
        <x:v>zero gain</x:v>
      </x:c>
    </x:row>
    <x:row r="16">
      <x:c r="A16" s="27" t="n">
        <x:v>2</x:v>
      </x:c>
      <x:c r="B16" s="27" t="n">
        <x:v>297</x:v>
      </x:c>
      <x:c r="C16" s="27" t="n">
        <x:v>95</x:v>
      </x:c>
      <x:c r="D16" s="32" t="n">
        <x:v>0</x:v>
      </x:c>
      <x:c r="E16" t="str">
        <x:v>zero gain</x:v>
      </x:c>
    </x:row>
    <x:row r="17">
      <x:c r="A17" s="27" t="n">
        <x:v>3</x:v>
      </x:c>
      <x:c r="B17" s="27" t="n">
        <x:v>500</x:v>
      </x:c>
      <x:c r="C17" s="27" t="n">
        <x:v>45</x:v>
      </x:c>
      <x:c r="D17" s="32" t="n">
        <x:v>0</x:v>
      </x:c>
      <x:c r="E17" t="str">
        <x:v>zero gain</x:v>
      </x:c>
    </x:row>
    <x:row r="18">
      <x:c r="A18" s="27" t="n">
        <x:v>3</x:v>
      </x:c>
      <x:c r="B18" s="27" t="n">
        <x:v>500</x:v>
      </x:c>
      <x:c r="C18" s="27" t="n">
        <x:v>55</x:v>
      </x:c>
      <x:c r="D18" s="32" t="n">
        <x:v>0</x:v>
      </x:c>
      <x:c r="E18" t="str">
        <x:v>zero gain</x:v>
      </x:c>
    </x:row>
    <x:row r="19">
      <x:c r="A19" s="27" t="n">
        <x:v>3</x:v>
      </x:c>
      <x:c r="B19" s="27" t="n">
        <x:v>500</x:v>
      </x:c>
      <x:c r="C19" s="27" t="n">
        <x:v>65</x:v>
      </x:c>
      <x:c r="D19" s="32" t="n">
        <x:v>0</x:v>
      </x:c>
      <x:c r="E19" t="str">
        <x:v>zero gain</x:v>
      </x:c>
    </x:row>
    <x:row r="20">
      <x:c r="A20" s="27" t="n">
        <x:v>3</x:v>
      </x:c>
      <x:c r="B20" s="27" t="n">
        <x:v>500</x:v>
      </x:c>
      <x:c r="C20" s="27" t="n">
        <x:v>75</x:v>
      </x:c>
      <x:c r="D20" s="32" t="n">
        <x:v>0</x:v>
      </x:c>
      <x:c r="E20" t="str">
        <x:v>zero gain</x:v>
      </x:c>
    </x:row>
    <x:row r="21">
      <x:c r="A21" s="27" t="n">
        <x:v>3</x:v>
      </x:c>
      <x:c r="B21" s="27" t="n">
        <x:v>500</x:v>
      </x:c>
      <x:c r="C21" s="27" t="n">
        <x:v>85</x:v>
      </x:c>
      <x:c r="D21" s="32" t="n">
        <x:v>0</x:v>
      </x:c>
      <x:c r="E21" t="str">
        <x:v>zero gain</x:v>
      </x:c>
    </x:row>
    <x:row r="22">
      <x:c r="A22" s="27" t="n">
        <x:v>3</x:v>
      </x:c>
      <x:c r="B22" s="27" t="n">
        <x:v>500</x:v>
      </x:c>
      <x:c r="C22" s="27" t="n">
        <x:v>95</x:v>
      </x:c>
      <x:c r="D22" s="32" t="n">
        <x:v>0</x:v>
      </x:c>
      <x:c r="E22" t="str">
        <x:v>zero gain</x:v>
      </x:c>
    </x:row>
    <x:row r="23">
      <x:c r="A23" s="27" t="n">
        <x:v>4</x:v>
      </x:c>
      <x:c r="B23" s="27" t="n">
        <x:v>841</x:v>
      </x:c>
      <x:c r="C23" s="27" t="n">
        <x:v>45</x:v>
      </x:c>
      <x:c r="D23" s="32" t="n">
        <x:v>0</x:v>
      </x:c>
      <x:c r="E23" t="str">
        <x:v>zero gain</x:v>
      </x:c>
    </x:row>
    <x:row r="24">
      <x:c r="A24" s="27" t="n">
        <x:v>4</x:v>
      </x:c>
      <x:c r="B24" s="27" t="n">
        <x:v>841</x:v>
      </x:c>
      <x:c r="C24" s="27" t="n">
        <x:v>55</x:v>
      </x:c>
      <x:c r="D24" s="32" t="n">
        <x:v>0</x:v>
      </x:c>
      <x:c r="E24" t="str">
        <x:v>zero gain</x:v>
      </x:c>
    </x:row>
    <x:row r="25">
      <x:c r="A25" s="27" t="n">
        <x:v>4</x:v>
      </x:c>
      <x:c r="B25" s="27" t="n">
        <x:v>841</x:v>
      </x:c>
      <x:c r="C25" s="27" t="n">
        <x:v>65</x:v>
      </x:c>
      <x:c r="D25" s="32" t="n">
        <x:v>0</x:v>
      </x:c>
      <x:c r="E25" t="str">
        <x:v>zero gain</x:v>
      </x:c>
    </x:row>
    <x:row r="26">
      <x:c r="A26" s="27" t="n">
        <x:v>4</x:v>
      </x:c>
      <x:c r="B26" s="27" t="n">
        <x:v>841</x:v>
      </x:c>
      <x:c r="C26" s="27" t="n">
        <x:v>75</x:v>
      </x:c>
      <x:c r="D26" s="32" t="n">
        <x:v>0</x:v>
      </x:c>
      <x:c r="E26" t="str">
        <x:v>zero gain</x:v>
      </x:c>
    </x:row>
    <x:row r="27">
      <x:c r="A27" s="27" t="n">
        <x:v>4</x:v>
      </x:c>
      <x:c r="B27" s="27" t="n">
        <x:v>841</x:v>
      </x:c>
      <x:c r="C27" s="27" t="n">
        <x:v>85</x:v>
      </x:c>
      <x:c r="D27" s="32" t="n">
        <x:v>0</x:v>
      </x:c>
      <x:c r="E27" t="str">
        <x:v>zero gain</x:v>
      </x:c>
    </x:row>
    <x:row r="28">
      <x:c r="A28" s="27" t="n">
        <x:v>4</x:v>
      </x:c>
      <x:c r="B28" s="27" t="n">
        <x:v>841</x:v>
      </x:c>
      <x:c r="C28" s="27" t="n">
        <x:v>95</x:v>
      </x:c>
      <x:c r="D28" s="32" t="n">
        <x:v>0</x:v>
      </x:c>
      <x:c r="E28" t="str">
        <x:v>zero gain</x:v>
      </x:c>
    </x:row>
    <x:row r="29">
      <x:c r="A29" s="27" t="n">
        <x:v>5</x:v>
      </x:c>
      <x:c r="B29" s="27" t="n">
        <x:v>1414</x:v>
      </x:c>
      <x:c r="C29" s="27" t="n">
        <x:v>45</x:v>
      </x:c>
      <x:c r="D29" s="32" t="n">
        <x:v>0</x:v>
      </x:c>
      <x:c r="E29" t="str">
        <x:v>zero gain</x:v>
      </x:c>
    </x:row>
    <x:row r="30">
      <x:c r="A30" s="27" t="n">
        <x:v>5</x:v>
      </x:c>
      <x:c r="B30" s="27" t="n">
        <x:v>1414</x:v>
      </x:c>
      <x:c r="C30" s="27" t="n">
        <x:v>55</x:v>
      </x:c>
      <x:c r="D30" s="32" t="n">
        <x:v>0</x:v>
      </x:c>
      <x:c r="E30" t="str">
        <x:v>zero gain</x:v>
      </x:c>
    </x:row>
    <x:row r="31">
      <x:c r="A31" s="27" t="n">
        <x:v>5</x:v>
      </x:c>
      <x:c r="B31" s="27" t="n">
        <x:v>1414</x:v>
      </x:c>
      <x:c r="C31" s="27" t="n">
        <x:v>65</x:v>
      </x:c>
      <x:c r="D31" s="32" t="n">
        <x:v>0</x:v>
      </x:c>
      <x:c r="E31" t="str">
        <x:v>zero gain</x:v>
      </x:c>
    </x:row>
    <x:row r="32">
      <x:c r="A32" s="27" t="n">
        <x:v>5</x:v>
      </x:c>
      <x:c r="B32" s="27" t="n">
        <x:v>1414</x:v>
      </x:c>
      <x:c r="C32" s="27" t="n">
        <x:v>75</x:v>
      </x:c>
      <x:c r="D32" s="32" t="n">
        <x:v>0</x:v>
      </x:c>
      <x:c r="E32" t="str">
        <x:v>zero gain</x:v>
      </x:c>
    </x:row>
    <x:row r="33">
      <x:c r="A33" s="27" t="n">
        <x:v>5</x:v>
      </x:c>
      <x:c r="B33" s="27" t="n">
        <x:v>1414</x:v>
      </x:c>
      <x:c r="C33" s="27" t="n">
        <x:v>85</x:v>
      </x:c>
      <x:c r="D33" s="32" t="n">
        <x:v>0</x:v>
      </x:c>
      <x:c r="E33" t="str">
        <x:v>zero gain</x:v>
      </x:c>
    </x:row>
    <x:row r="34">
      <x:c r="A34" s="27" t="n">
        <x:v>5</x:v>
      </x:c>
      <x:c r="B34" s="27" t="n">
        <x:v>1414</x:v>
      </x:c>
      <x:c r="C34" s="27" t="n">
        <x:v>95</x:v>
      </x:c>
      <x:c r="D34" s="32" t="n">
        <x:v>0</x:v>
      </x:c>
      <x:c r="E34" t="str">
        <x:v>zero gain</x:v>
      </x:c>
    </x:row>
    <x:row r="35">
      <x:c r="A35" s="27" t="n">
        <x:v>6</x:v>
      </x:c>
      <x:c r="B35" s="27" t="n">
        <x:v>2378</x:v>
      </x:c>
      <x:c r="C35" s="27" t="n">
        <x:v>45</x:v>
      </x:c>
      <x:c r="D35" s="32" t="n">
        <x:v>4.905859</x:v>
      </x:c>
      <x:c r="E35" t="str">
        <x:v>constant over validation range</x:v>
      </x:c>
    </x:row>
    <x:row r="36">
      <x:c r="A36" s="27" t="n">
        <x:v>6</x:v>
      </x:c>
      <x:c r="B36" s="27" t="n">
        <x:v>2378</x:v>
      </x:c>
      <x:c r="C36" s="27" t="n">
        <x:v>55</x:v>
      </x:c>
      <x:c r="D36" s="32" t="n">
        <x:v>4.905859</x:v>
      </x:c>
      <x:c r="E36" t="str">
        <x:v>constant over validation range</x:v>
      </x:c>
    </x:row>
    <x:row r="37">
      <x:c r="A37" s="27" t="n">
        <x:v>6</x:v>
      </x:c>
      <x:c r="B37" s="27" t="n">
        <x:v>2378</x:v>
      </x:c>
      <x:c r="C37" s="27" t="n">
        <x:v>65</x:v>
      </x:c>
      <x:c r="D37" s="32" t="n">
        <x:v>4.905859</x:v>
      </x:c>
      <x:c r="E37" t="str">
        <x:v>constant over validation range</x:v>
      </x:c>
    </x:row>
    <x:row r="38">
      <x:c r="A38" s="27" t="n">
        <x:v>6</x:v>
      </x:c>
      <x:c r="B38" s="27" t="n">
        <x:v>2378</x:v>
      </x:c>
      <x:c r="C38" s="27" t="n">
        <x:v>75</x:v>
      </x:c>
      <x:c r="D38" s="32" t="n">
        <x:v>4.905859</x:v>
      </x:c>
      <x:c r="E38" t="str">
        <x:v>constant over validation range</x:v>
      </x:c>
    </x:row>
    <x:row r="39">
      <x:c r="A39" s="27" t="n">
        <x:v>6</x:v>
      </x:c>
      <x:c r="B39" s="27" t="n">
        <x:v>2378</x:v>
      </x:c>
      <x:c r="C39" s="27" t="n">
        <x:v>85</x:v>
      </x:c>
      <x:c r="D39" s="32" t="n">
        <x:v>4.905859</x:v>
      </x:c>
      <x:c r="E39" t="str">
        <x:v>constant over validation range</x:v>
      </x:c>
    </x:row>
    <x:row r="40">
      <x:c r="A40" s="27" t="n">
        <x:v>6</x:v>
      </x:c>
      <x:c r="B40" s="27" t="n">
        <x:v>2378</x:v>
      </x:c>
      <x:c r="C40" s="27" t="n">
        <x:v>95</x:v>
      </x:c>
      <x:c r="D40" s="32" t="n">
        <x:v>4.905859</x:v>
      </x:c>
      <x:c r="E40" t="str">
        <x:v>constant over validation range</x:v>
      </x:c>
    </x:row>
    <x:row r="41">
      <x:c r="A41" s="27" t="n">
        <x:v>7</x:v>
      </x:c>
      <x:c r="B41" s="27" t="n">
        <x:v>4000</x:v>
      </x:c>
      <x:c r="C41" s="27" t="n">
        <x:v>45</x:v>
      </x:c>
      <x:c r="D41" s="32" t="n">
        <x:v>14.320828</x:v>
      </x:c>
      <x:c r="E41" t="str">
        <x:v>detector calibration pending</x:v>
      </x:c>
    </x:row>
    <x:row r="42">
      <x:c r="A42" s="27" t="n">
        <x:v>7</x:v>
      </x:c>
      <x:c r="B42" s="27" t="n">
        <x:v>4000</x:v>
      </x:c>
      <x:c r="C42" s="27" t="n">
        <x:v>55</x:v>
      </x:c>
      <x:c r="D42" s="32" t="n">
        <x:v>13.278781</x:v>
      </x:c>
      <x:c r="E42" t="str">
        <x:v>detector calibration pending</x:v>
      </x:c>
    </x:row>
    <x:row r="43">
      <x:c r="A43" s="27" t="n">
        <x:v>7</x:v>
      </x:c>
      <x:c r="B43" s="27" t="n">
        <x:v>4000</x:v>
      </x:c>
      <x:c r="C43" s="27" t="n">
        <x:v>65</x:v>
      </x:c>
      <x:c r="D43" s="32" t="n">
        <x:v>12.236734</x:v>
      </x:c>
      <x:c r="E43" t="str">
        <x:v>detector calibration pending</x:v>
      </x:c>
    </x:row>
    <x:row r="44">
      <x:c r="A44" s="27" t="n">
        <x:v>7</x:v>
      </x:c>
      <x:c r="B44" s="27" t="n">
        <x:v>4000</x:v>
      </x:c>
      <x:c r="C44" s="27" t="n">
        <x:v>75</x:v>
      </x:c>
      <x:c r="D44" s="32" t="n">
        <x:v>11.194687</x:v>
      </x:c>
      <x:c r="E44" t="str">
        <x:v>detector calibration pending</x:v>
      </x:c>
    </x:row>
    <x:row r="45">
      <x:c r="A45" s="27" t="n">
        <x:v>7</x:v>
      </x:c>
      <x:c r="B45" s="27" t="n">
        <x:v>4000</x:v>
      </x:c>
      <x:c r="C45" s="27" t="n">
        <x:v>85</x:v>
      </x:c>
      <x:c r="D45" s="32" t="n">
        <x:v>10.152641</x:v>
      </x:c>
      <x:c r="E45" t="str">
        <x:v>detector calibration pending</x:v>
      </x:c>
    </x:row>
    <x:row r="46">
      <x:c r="A46" s="27" t="n">
        <x:v>7</x:v>
      </x:c>
      <x:c r="B46" s="27" t="n">
        <x:v>4000</x:v>
      </x:c>
      <x:c r="C46" s="27" t="n">
        <x:v>95</x:v>
      </x:c>
      <x:c r="D46" s="32" t="n">
        <x:v>5</x:v>
      </x:c>
      <x:c r="E46" t="str">
        <x:v>detector calibration pending</x:v>
      </x:c>
    </x:row>
    <x:row r="47">
      <x:c r="A47" s="27" t="n">
        <x:v>8</x:v>
      </x:c>
      <x:c r="B47" s="27" t="n">
        <x:v>6727</x:v>
      </x:c>
      <x:c r="C47" s="27" t="n">
        <x:v>45</x:v>
      </x:c>
      <x:c r="D47" s="32" t="n">
        <x:v>18.78251</x:v>
      </x:c>
      <x:c r="E47" t="str">
        <x:v>detector calibration pending</x:v>
      </x:c>
    </x:row>
    <x:row r="48">
      <x:c r="A48" s="27" t="n">
        <x:v>8</x:v>
      </x:c>
      <x:c r="B48" s="27" t="n">
        <x:v>6727</x:v>
      </x:c>
      <x:c r="C48" s="27" t="n">
        <x:v>55</x:v>
      </x:c>
      <x:c r="D48" s="32" t="n">
        <x:v>12.777681</x:v>
      </x:c>
      <x:c r="E48" t="str">
        <x:v>detector calibration pending</x:v>
      </x:c>
    </x:row>
    <x:row r="49">
      <x:c r="A49" s="27" t="n">
        <x:v>8</x:v>
      </x:c>
      <x:c r="B49" s="27" t="n">
        <x:v>6727</x:v>
      </x:c>
      <x:c r="C49" s="27" t="n">
        <x:v>65</x:v>
      </x:c>
      <x:c r="D49" s="32" t="n">
        <x:v>6.772852</x:v>
      </x:c>
      <x:c r="E49" t="str">
        <x:v>detector calibration pending</x:v>
      </x:c>
    </x:row>
    <x:row r="50">
      <x:c r="A50" s="27" t="n">
        <x:v>8</x:v>
      </x:c>
      <x:c r="B50" s="27" t="n">
        <x:v>6727</x:v>
      </x:c>
      <x:c r="C50" s="27" t="n">
        <x:v>75</x:v>
      </x:c>
      <x:c r="D50" s="32" t="n">
        <x:v>0.768024</x:v>
      </x:c>
      <x:c r="E50" t="str">
        <x:v>detector calibration pending</x:v>
      </x:c>
    </x:row>
    <x:row r="51">
      <x:c r="A51" s="27" t="n">
        <x:v>8</x:v>
      </x:c>
      <x:c r="B51" s="27" t="n">
        <x:v>6727</x:v>
      </x:c>
      <x:c r="C51" s="27" t="n">
        <x:v>85</x:v>
      </x:c>
      <x:c r="D51" s="32" t="n">
        <x:v>0</x:v>
      </x:c>
      <x:c r="E51" t="str">
        <x:v>detector calibration pending</x:v>
      </x:c>
    </x:row>
    <x:row r="52">
      <x:c r="A52" s="27" t="n">
        <x:v>8</x:v>
      </x:c>
      <x:c r="B52" s="27" t="n">
        <x:v>6727</x:v>
      </x:c>
      <x:c r="C52" s="27" t="n">
        <x:v>95</x:v>
      </x:c>
      <x:c r="D52" s="32" t="n">
        <x:v>0</x:v>
      </x:c>
      <x:c r="E52" t="str">
        <x:v>detector calibration pending</x:v>
      </x:c>
    </x:row>
    <x:row r="53">
      <x:c r="A53" s="27" t="n">
        <x:v>9</x:v>
      </x:c>
      <x:c r="B53" s="27" t="n">
        <x:v>11314</x:v>
      </x:c>
      <x:c r="C53" s="27" t="n">
        <x:v>45</x:v>
      </x:c>
      <x:c r="D53" s="32" t="n">
        <x:v>0</x:v>
      </x:c>
      <x:c r="E53" t="str">
        <x:v>bypass</x:v>
      </x:c>
    </x:row>
    <x:row r="54">
      <x:c r="A54" s="27" t="n">
        <x:v>9</x:v>
      </x:c>
      <x:c r="B54" s="27" t="n">
        <x:v>11314</x:v>
      </x:c>
      <x:c r="C54" s="27" t="n">
        <x:v>55</x:v>
      </x:c>
      <x:c r="D54" s="32" t="n">
        <x:v>0</x:v>
      </x:c>
      <x:c r="E54" t="str">
        <x:v>bypass</x:v>
      </x:c>
    </x:row>
    <x:row r="55">
      <x:c r="A55" s="27" t="n">
        <x:v>9</x:v>
      </x:c>
      <x:c r="B55" s="27" t="n">
        <x:v>11314</x:v>
      </x:c>
      <x:c r="C55" s="27" t="n">
        <x:v>65</x:v>
      </x:c>
      <x:c r="D55" s="32" t="n">
        <x:v>0</x:v>
      </x:c>
      <x:c r="E55" t="str">
        <x:v>bypass</x:v>
      </x:c>
    </x:row>
    <x:row r="56">
      <x:c r="A56" s="27" t="n">
        <x:v>9</x:v>
      </x:c>
      <x:c r="B56" s="27" t="n">
        <x:v>11314</x:v>
      </x:c>
      <x:c r="C56" s="27" t="n">
        <x:v>75</x:v>
      </x:c>
      <x:c r="D56" s="32" t="n">
        <x:v>0</x:v>
      </x:c>
      <x:c r="E56" t="str">
        <x:v>bypass</x:v>
      </x:c>
    </x:row>
    <x:row r="57">
      <x:c r="A57" s="27" t="n">
        <x:v>9</x:v>
      </x:c>
      <x:c r="B57" s="27" t="n">
        <x:v>11314</x:v>
      </x:c>
      <x:c r="C57" s="27" t="n">
        <x:v>85</x:v>
      </x:c>
      <x:c r="D57" s="32" t="n">
        <x:v>0</x:v>
      </x:c>
      <x:c r="E57" t="str">
        <x:v>bypass</x:v>
      </x:c>
    </x:row>
    <x:row r="58">
      <x:c r="A58" s="27" t="n">
        <x:v>9</x:v>
      </x:c>
      <x:c r="B58" s="27" t="n">
        <x:v>11314</x:v>
      </x:c>
      <x:c r="C58" s="27" t="n">
        <x:v>95</x:v>
      </x:c>
      <x:c r="D58" s="32" t="n">
        <x:v>0</x:v>
      </x:c>
      <x:c r="E58" t="str">
        <x:v>bypass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" t="str">
        <x:v>Modelo linear extraído do export SigmaStudio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20" t="str">
        <x:v>band</x:v>
      </x:c>
      <x:c r="B4" s="24" t="str">
        <x:v>frequency_hz</x:v>
      </x:c>
      <x:c r="C4" s="24" t="str">
        <x:v>target_real</x:v>
      </x:c>
      <x:c r="D4" s="24" t="str">
        <x:v>target_imag</x:v>
      </x:c>
      <x:c r="E4" s="24" t="str">
        <x:v>remainder_real</x:v>
      </x:c>
      <x:c r="F4" s="24" t="str">
        <x:v>remainder_imag</x:v>
      </x:c>
      <x:c r="G4" s="24" t="str">
        <x:v>target_squared_a</x:v>
      </x:c>
      <x:c r="H4" s="24" t="str">
        <x:v>cross_term_b</x:v>
      </x:c>
      <x:c r="I4" s="24" t="str">
        <x:v>remainder_squared</x:v>
      </x:c>
      <x:c r="J4" s="24" t="str">
        <x:v>unity_squared</x:v>
      </x:c>
      <x:c r="K4" s="24" t="str">
        <x:v>target_magnitude</x:v>
      </x:c>
      <x:c r="L4" s="24" t="str">
        <x:v>remainder_magnitude</x:v>
      </x:c>
      <x:c r="M4" s="21" t="str">
        <x:v>phase_difference_deg</x:v>
      </x:c>
    </x:row>
    <x:row r="5">
      <x:c r="A5" s="27" t="n">
        <x:v>7</x:v>
      </x:c>
      <x:c r="B5" s="27" t="n">
        <x:v>4000</x:v>
      </x:c>
      <x:c r="C5" s="29" t="n">
        <x:v>-0.10268349614703916</x:v>
      </x:c>
      <x:c r="D5" s="29" t="n">
        <x:v>0.5253184086733296</x:v>
      </x:c>
      <x:c r="E5" s="29" t="n">
        <x:v>-0.08923499533703246</x:v>
      </x:c>
      <x:c r="F5" s="29" t="n">
        <x:v>0.45607729206993564</x:v>
      </x:c>
      <x:c r="G5" s="29" t="n">
        <x:v>0.2865033308720583</x:v>
      </x:c>
      <x:c r="H5" s="29" t="n">
        <x:v>0.49749751720418234</x:v>
      </x:c>
      <x:c r="I5" s="29" t="n">
        <x:v>0.2159693807346456</x:v>
      </x:c>
      <x:c r="J5" s="29" t="n">
        <x:v>0.9999702288108862</x:v>
      </x:c>
      <x:c r="K5" s="29" t="n">
        <x:v>0.5352600591040381</x:v>
      </x:c>
      <x:c r="L5" s="29" t="n">
        <x:v>0.46472505929274527</x:v>
      </x:c>
      <x:c r="M5" s="29" t="n">
        <x:v>-0.010405399648522624</x:v>
      </x:c>
    </x:row>
    <x:row r="6">
      <x:c r="A6" s="27" t="n">
        <x:v>8</x:v>
      </x:c>
      <x:c r="B6" s="27" t="n">
        <x:v>6727</x:v>
      </x:c>
      <x:c r="C6" s="29" t="n">
        <x:v>-0.562198317818678</x:v>
      </x:c>
      <x:c r="D6" s="29" t="n">
        <x:v>0.06877032559353331</x:v>
      </x:c>
      <x:c r="E6" s="29" t="n">
        <x:v>-0.4301910024608393</x:v>
      </x:c>
      <x:c r="F6" s="29" t="n">
        <x:v>0.05432439192156836</x:v>
      </x:c>
      <x:c r="G6" s="29" t="n">
        <x:v>0.32079630624039196</x:v>
      </x:c>
      <x:c r="H6" s="29" t="n">
        <x:v>0.49117712808866315</x:v>
      </x:c>
      <x:c r="I6" s="29" t="n">
        <x:v>0.18801543815591001</x:v>
      </x:c>
      <x:c r="J6" s="29" t="n">
        <x:v>0.9999888724849652</x:v>
      </x:c>
      <x:c r="K6" s="29" t="n">
        <x:v>0.5663888295512121</x:v>
      </x:c>
      <x:c r="L6" s="29" t="n">
        <x:v>0.43360747013388734</x:v>
      </x:c>
      <x:c r="M6" s="29" t="n">
        <x:v>0.22319835880082953</x:v>
      </x:c>
    </x:row>
  </x:sheetData>
  <x:mergeCells>
    <x:mergeCell ref="A1:M2"/>
  </x:mergeCells>
  <x:pageMargins left="0.7" right="0.7" top="0.75" bottom="0.75" header="0.3" footer="0.3"/>
</x:worksheet>
</file>